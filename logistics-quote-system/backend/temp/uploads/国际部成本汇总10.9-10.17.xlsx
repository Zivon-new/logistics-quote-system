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6" activeTab="2"/>
  </bookViews>
  <sheets>
    <sheet name="深圳-香港-圣何塞" sheetId="32" r:id="rId1"/>
    <sheet name="达拉斯-迈阿密 -硬盘" sheetId="25" r:id="rId2"/>
    <sheet name="天津-巴拿马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<sst xmlns="http://schemas.openxmlformats.org/spreadsheetml/2006/main" count="39" uniqueCount="35">
  <si>
    <t>2025.10.20</t>
  </si>
  <si>
    <t>深圳-香港-美国圣何塞，按240kg预估</t>
  </si>
  <si>
    <t>/</t>
  </si>
  <si>
    <t>融迅报价</t>
  </si>
  <si>
    <t>费用明细</t>
  </si>
  <si>
    <t>深圳-香港过港及杂费预计4000
TO SFO BY HK NZ RMB44/KG
报关 RMB300+申报税实报实销
请贴好电池签交货
SFO local
报关费USD150
航站费USD280
贸易代理费USD200
操作费USD45
送货费USD550 
人工费USD180
待时费USD75/hr，1小时免费
税金实报实销
MPF 货值*0.3464%
关税垫付手续费 3.5% or MIN USD50 （超5w人民币需要预付）
不含仓储费，查验费等可能产生的额外费用，若产生额外收费则实报实销、不含保险费
运输时间：交货后7-10天左右</t>
  </si>
  <si>
    <t>小计(不含税)</t>
  </si>
  <si>
    <t>进口税</t>
  </si>
  <si>
    <t>按8471.490000，当前是7.5%+20%+0.3464%=27.8464%，后续可能加征100%关税</t>
  </si>
  <si>
    <t>达拉斯-迈阿密 100个硬盘 重量预估20KGS</t>
  </si>
  <si>
    <t>代理</t>
  </si>
  <si>
    <t>融迅-快递方案</t>
  </si>
  <si>
    <t>融迅-拼车方案</t>
  </si>
  <si>
    <t>达拉斯-迈阿密</t>
  </si>
  <si>
    <r>
      <rPr>
        <b/>
        <sz val="9"/>
        <color theme="1"/>
        <rFont val="微软雅黑"/>
        <charset val="134"/>
      </rPr>
      <t>提货费用：</t>
    </r>
    <r>
      <rPr>
        <sz val="9"/>
        <color theme="1"/>
        <rFont val="微软雅黑"/>
        <charset val="134"/>
      </rPr>
      <t xml:space="preserve">
提货费：USD350
人工费：USD180
纸箱缠膜包装：USD60/个（货物安全考虑，硬盘需要发货人用专用的塑料盒和泡沫包好，我们只负责包最外层的纸箱包装）
</t>
    </r>
    <r>
      <rPr>
        <b/>
        <sz val="9"/>
        <color theme="1"/>
        <rFont val="微软雅黑"/>
        <charset val="134"/>
      </rPr>
      <t>达拉斯-迈阿密 快递 UPS</t>
    </r>
    <r>
      <rPr>
        <sz val="9"/>
        <color theme="1"/>
        <rFont val="微软雅黑"/>
        <charset val="134"/>
      </rPr>
      <t>：USD120（按预估的16*14*12 inch/42lbs/2ctns）</t>
    </r>
  </si>
  <si>
    <r>
      <rPr>
        <b/>
        <sz val="9"/>
        <color theme="1"/>
        <rFont val="微软雅黑"/>
        <charset val="134"/>
      </rPr>
      <t>提货费用：</t>
    </r>
    <r>
      <rPr>
        <sz val="9"/>
        <color theme="1"/>
        <rFont val="微软雅黑"/>
        <charset val="134"/>
      </rPr>
      <t xml:space="preserve">
提货费：USD350
人工费：USD180
纸箱缠膜包装：USD60/个（货物安全考虑，硬盘需要发货人用专用的塑料盒和泡沫包好，我们只负责包最外层的纸箱包装）
</t>
    </r>
    <r>
      <rPr>
        <b/>
        <sz val="9"/>
        <color theme="1"/>
        <rFont val="微软雅黑"/>
        <charset val="134"/>
      </rPr>
      <t>达拉斯-迈阿密 拼车送货</t>
    </r>
    <r>
      <rPr>
        <sz val="9"/>
        <color theme="1"/>
        <rFont val="微软雅黑"/>
        <charset val="134"/>
      </rPr>
      <t>：USD585，拼车目前没有卸货上楼的服务，所以还需要倒短额外收USD50，送货上楼人工费：USD180（拼车涉及，快递不涉及此费用）</t>
    </r>
  </si>
  <si>
    <t>小计</t>
  </si>
  <si>
    <t>备注</t>
  </si>
  <si>
    <t>由于是硬盘存储产品，代理无法帮忙打内包装，需要客户自己先打好硬盘内包装，代理可以帮忙打外包装。
不含：保险费，拆箱回收垃圾的费用，如产生其他费用实报实销</t>
  </si>
  <si>
    <t>时效</t>
  </si>
  <si>
    <t>约8-12天</t>
  </si>
  <si>
    <t>天津-巴拿马11个40尺高柜</t>
  </si>
  <si>
    <t>融迅</t>
  </si>
  <si>
    <t>瑞尔</t>
  </si>
  <si>
    <t>新华尼克-新代理 参考海运费</t>
  </si>
  <si>
    <t>天津--巴拿马 巴尔博亚(balboa)
10.17/10.24船 MSK 一截五开 釜山转 大约43天
海运费： USD 2400/40GP
港杂：RMB  314/40GP
THC: RMB  980/40GP
安保：RMB 15/40GP
CHC: RMB  50/40GP
预配舱单：RMB 100/BILL
VGM: RMB 20/Container
设备管理费：RMB 100/Container
文件费：RMB 450/BILL
电放费（if needs): RMB 350/BILL
报关费：RMB 200/BILL (5个HS CODE)
Balboa LOCAL:
DTHC ：USD 330/CNTR （参考，实报实销）
PORT CHARGES  : USD 135/CNTR
HANDLING : USD 180
DELIVERY: USD 1800/CNTR
CUSTOMS CLEARANCE ：
FROM USD 0.00 TO USD 5,000 ： USD 165
FROM USD 5,001 TO USD 10,000 : USD  195
FROM USD 10,001 AND UP : CIF X USD 0.0030 +USD 195(按USD195计算)
COLLECT FEE ：4.5% （Only applies if there are CC charges for the customer at destination）-预估中不含
WIRE/COURRIER ：USD 65/ PER TRANSACTION (IF NEED)</t>
  </si>
  <si>
    <t>天津--巴拿马 巴尔博亚(balboa)
10.24船 MSK 一截五开 宁波转 大约42天
海运费：USD2200/箱
local charge：RMB2100/箱
报关费：RMB200
装箱费：RMB950/箱
提货费：需要提供地址报价
目的港清关派送费费用
送货费:USD2700/箱
local charge：USD300
报关费;USDCIF*0.003+USD130(按USD130计算)</t>
  </si>
  <si>
    <t>天津--巴拿马MANZANILLO
海运费：CMA USD2724/40HQ</t>
  </si>
  <si>
    <t>预估运费</t>
  </si>
  <si>
    <t>参考进口税</t>
  </si>
  <si>
    <t>IMPORT TAX ：10% (DUTY) + 7% (ITBMS/VAT) + TASA: USD 110.00</t>
  </si>
  <si>
    <t>注：</t>
  </si>
  <si>
    <t>1.整体运输时间大概2个月左右</t>
  </si>
  <si>
    <t>2.价格有效期一周</t>
  </si>
  <si>
    <t>3.不含产装/提柜费、不含保险、不含巴拿马进口税费、堆存费、滞箱费、拆箱卸货费、及海关查验产生的相关费用等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</si>
</sst>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;[$CNY]\ \-#,##0.00"/>
    <numFmt numFmtId="177" formatCode="[$USD]\ #,##0.00;[$USD]\ \-#,##0.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177" fontId="2" fillId="2" borderId="1" xfId="0" applyNumberFormat="1" applyFont="1" applyFill="1" applyBorder="1" applyAlignment="1">
      <alignment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176" fontId="0" fillId="0" borderId="0" xfId="0" applyNumberFormat="1" applyFont="1" applyFill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I5" sqref="I5"/>
    </sheetView>
  </sheetViews>
  <sheetFormatPr defaultColWidth="9" defaultRowHeight="14.4" outlineLevelCol="2"/>
  <cols>
    <col min="1" max="1" width="14.6666666666667" customWidth="1"/>
    <col min="2" max="2" width="51" customWidth="1"/>
    <col min="3" max="3" width="17.5555555555556" customWidth="1"/>
  </cols>
  <sheetData>
    <row r="1" spans="1:3">
      <c r="A1" s="17" t="s">
        <v>0</v>
      </c>
      <c r="B1" s="17"/>
      <c r="C1" s="17"/>
    </row>
    <row r="2" spans="1:3">
      <c r="A2" s="17" t="s">
        <v>1</v>
      </c>
      <c r="B2" s="17"/>
      <c r="C2" s="17"/>
    </row>
    <row r="3" spans="1:3">
      <c r="A3" s="17"/>
      <c r="B3" s="17"/>
      <c r="C3" s="17"/>
    </row>
    <row r="4" spans="1:3">
      <c r="A4" s="18" t="s">
        <v>2</v>
      </c>
      <c r="B4" s="18" t="s">
        <v>3</v>
      </c>
      <c r="C4" s="19">
        <v>359292</v>
      </c>
    </row>
    <row r="5" ht="325" customHeight="1" spans="1:3">
      <c r="A5" s="18" t="s">
        <v>4</v>
      </c>
      <c r="B5" s="20" t="s">
        <v>5</v>
      </c>
      <c r="C5" s="21"/>
    </row>
    <row r="6" spans="1:3">
      <c r="A6" s="22" t="s">
        <v>6</v>
      </c>
      <c r="B6" s="23">
        <f>4000+44*240+500+(150+280+200+45+550+180)*7.3+B7*3.5%</f>
        <v>28818.24606208</v>
      </c>
      <c r="C6" s="17"/>
    </row>
    <row r="7" spans="1:3">
      <c r="A7" s="22" t="s">
        <v>7</v>
      </c>
      <c r="B7" s="23">
        <f>C4*27.8464%</f>
        <v>100049.887488</v>
      </c>
      <c r="C7" s="17"/>
    </row>
    <row r="8" spans="1:3">
      <c r="A8" s="17"/>
      <c r="B8" s="17" t="s">
        <v>8</v>
      </c>
      <c r="C8" s="24"/>
    </row>
    <row r="9" spans="1:3">
      <c r="A9" s="17"/>
      <c r="B9" s="17"/>
      <c r="C9" s="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0" sqref="B20"/>
    </sheetView>
  </sheetViews>
  <sheetFormatPr defaultColWidth="8.88888888888889" defaultRowHeight="14.4" outlineLevelRow="5" outlineLevelCol="2"/>
  <cols>
    <col min="1" max="1" width="15.8888888888889" customWidth="1"/>
    <col min="2" max="2" width="49.7777777777778" customWidth="1"/>
    <col min="3" max="3" width="57.2222222222222" customWidth="1"/>
  </cols>
  <sheetData>
    <row r="1" spans="1:3">
      <c r="A1" s="5" t="s">
        <v>9</v>
      </c>
      <c r="B1" s="6"/>
      <c r="C1" s="6"/>
    </row>
    <row r="2" spans="1:3">
      <c r="A2" s="7" t="s">
        <v>10</v>
      </c>
      <c r="B2" s="7" t="s">
        <v>11</v>
      </c>
      <c r="C2" s="8" t="s">
        <v>12</v>
      </c>
    </row>
    <row r="3" ht="165" customHeight="1" spans="1:3">
      <c r="A3" s="9" t="s">
        <v>13</v>
      </c>
      <c r="B3" s="10" t="s">
        <v>14</v>
      </c>
      <c r="C3" s="11" t="s">
        <v>15</v>
      </c>
    </row>
    <row r="4" spans="1:3">
      <c r="A4" s="12" t="s">
        <v>16</v>
      </c>
      <c r="B4" s="13">
        <f>350+180+60*2+120</f>
        <v>770</v>
      </c>
      <c r="C4" s="14">
        <f>350+180+60*2+585+50+180</f>
        <v>1465</v>
      </c>
    </row>
    <row r="5" ht="40" customHeight="1" spans="1:3">
      <c r="A5" s="15" t="s">
        <v>17</v>
      </c>
      <c r="B5" s="16" t="s">
        <v>18</v>
      </c>
      <c r="C5" s="16" t="s">
        <v>18</v>
      </c>
    </row>
    <row r="6" spans="1:3">
      <c r="A6" s="15" t="s">
        <v>19</v>
      </c>
      <c r="B6" s="8" t="s">
        <v>20</v>
      </c>
      <c r="C6" s="8" t="s">
        <v>20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5" sqref="F5"/>
    </sheetView>
  </sheetViews>
  <sheetFormatPr defaultColWidth="9" defaultRowHeight="14.4" outlineLevelCol="3"/>
  <cols>
    <col min="1" max="1" width="11.4444444444444" customWidth="1"/>
    <col min="2" max="2" width="53.7777777777778" customWidth="1"/>
    <col min="3" max="3" width="48.6666666666667" customWidth="1"/>
    <col min="4" max="4" width="49.1111111111111" hidden="1" customWidth="1"/>
  </cols>
  <sheetData>
    <row r="1" spans="1:4">
      <c r="A1" t="s">
        <v>21</v>
      </c>
    </row>
    <row r="4" spans="1:4">
      <c r="A4" s="1" t="s">
        <v>2</v>
      </c>
      <c r="B4" s="1" t="s">
        <v>22</v>
      </c>
      <c r="C4" s="1" t="s">
        <v>23</v>
      </c>
      <c r="D4" s="1" t="s">
        <v>24</v>
      </c>
    </row>
    <row r="5" ht="409" customHeight="1" spans="1:4">
      <c r="A5" s="1" t="s">
        <v>4</v>
      </c>
      <c r="B5" s="2" t="s">
        <v>25</v>
      </c>
      <c r="C5" s="2" t="s">
        <v>26</v>
      </c>
      <c r="D5" s="2" t="s">
        <v>27</v>
      </c>
    </row>
    <row r="6" spans="1:4">
      <c r="A6" s="1" t="s">
        <v>28</v>
      </c>
      <c r="B6" s="3">
        <f>2400*11*7.3+(314+980+15+50+20+100)*11+100+450+350+200+(330*11+135*11+180+1800*11+195+65)*7.3</f>
        <v>395180.5</v>
      </c>
      <c r="C6" s="3">
        <f>(2200*11*7.3)+2100*11+200+950*11+(2700*11+300+130)*7.3</f>
        <v>430359</v>
      </c>
      <c r="D6" s="1"/>
    </row>
    <row r="7" spans="1:4">
      <c r="A7" s="4" t="s">
        <v>29</v>
      </c>
      <c r="B7" t="s">
        <v>30</v>
      </c>
    </row>
    <row r="8" spans="1:4">
      <c r="A8" s="4"/>
    </row>
    <row r="9" spans="1:4">
      <c r="A9" t="s">
        <v>31</v>
      </c>
    </row>
    <row r="10" spans="1:4">
      <c r="A10" t="s">
        <v>32</v>
      </c>
    </row>
    <row r="11" spans="1:4">
      <c r="A11" t="s">
        <v>33</v>
      </c>
    </row>
    <row r="12" spans="1:4">
      <c r="A12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深圳-香港-圣何塞</vt:lpstr>
      <vt:lpstr>达拉斯-迈阿密 -硬盘</vt:lpstr>
      <vt:lpstr>天津-巴拿马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马玉华</dc:creator>
  <cp:lastModifiedBy>Administrator</cp:lastModifiedBy>
  <dcterms:created xsi:type="dcterms:W3CDTF">2025-10-11T02:33:00Z</dcterms:created>
  <dcterms:modified xsi:type="dcterms:W3CDTF">2026-03-03T03:32:28Z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E91D53DFA7E94AB6AFEB569CB23D96A0_13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