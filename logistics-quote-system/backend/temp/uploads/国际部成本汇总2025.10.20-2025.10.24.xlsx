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firstSheet="12" activeTab="13"/>
  </bookViews>
  <sheets>
    <sheet name="国内-西班牙海运专线" sheetId="22" r:id="rId1"/>
    <sheet name="国内-新加坡&amp; 英国" sheetId="16" r:id="rId2"/>
    <sheet name="Sheet1" sheetId="24" r:id="rId3"/>
    <sheet name="国内-澳门询价" sheetId="17" r:id="rId4"/>
    <sheet name="国内-澳洲" sheetId="18" r:id="rId5"/>
    <sheet name="国内-香港" sheetId="19" r:id="rId6"/>
    <sheet name="达拉斯-新加坡" sheetId="15" r:id="rId7"/>
    <sheet name="深圳-新加坡一般贸易" sheetId="10" r:id="rId8"/>
    <sheet name="深圳-新加坡专线成本" sheetId="11" r:id="rId9"/>
    <sheet name="国内-达拉斯贸代" sheetId="12" r:id="rId10"/>
    <sheet name="国内-法兰克福专线" sheetId="13" r:id="rId11"/>
    <sheet name="达拉斯-法兰克福" sheetId="14" r:id="rId12"/>
    <sheet name="香港-新加坡" sheetId="9" r:id="rId13"/>
    <sheet name="香港-马来-正清" sheetId="7" r:id="rId14"/>
    <sheet name="香港-马来-专线" sheetId="8" r:id="rId15"/>
    <sheet name="香港-菲律宾" sheetId="5" r:id="rId16"/>
    <sheet name="日本" sheetId="4" r:id="rId17"/>
    <sheet name="新加坡-柔佛" sheetId="3" r:id="rId18"/>
    <sheet name="北京-沙特" sheetId="2" r:id="rId19"/>
    <sheet name="国内-荷兰" sheetId="20" r:id="rId20"/>
    <sheet name="国内-荷兰2" sheetId="21" r:id="rId21"/>
    <sheet name="国内-越南" sheetId="23" r:id="rId22"/>
    <sheet name="Sheet2" sheetId="25"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<sst xmlns="http://schemas.openxmlformats.org/spreadsheetml/2006/main" count="639" uniqueCount="421">
  <si>
    <t>国内-西班牙海运专线 碱性电池 客户提供重量1740KGS</t>
  </si>
  <si>
    <t>代理</t>
  </si>
  <si>
    <t>融迅</t>
  </si>
  <si>
    <t>银顺达--仅合作过快递，未合作过专线</t>
  </si>
  <si>
    <t>欧洲专线集团--展会新加代理，未合作</t>
  </si>
  <si>
    <t>国内-西班牙海运专线</t>
  </si>
  <si>
    <t>货交深圳 3cbm/1740kg
海运运费CNY18/kg + 产品附加费CNY5/kg
地址不偏远，不超尺寸，不超重参考此报价
不超尺和不超重的标准：
长+宽+高&lt;300CM，单边不得超过120CM,最小尺寸为15CM*10CM*2CM；
MRW单件实重不超40KG，建议控制在25KG左右
尾端是当地物流派送，无卸货上楼、指定签收单、预约派送，如需上楼需要具体的尺寸和重量信息</t>
  </si>
  <si>
    <t>货交深圳，22/KG  海运双清包税到门，不卸货上楼</t>
  </si>
  <si>
    <r>
      <rPr>
        <sz val="9"/>
        <color rgb="FF000000"/>
        <rFont val="微软雅黑"/>
        <charset val="134"/>
      </rPr>
      <t>货交深圳，</t>
    </r>
    <r>
      <rPr>
        <b/>
        <sz val="9"/>
        <color rgb="FF000000"/>
        <rFont val="微软雅黑"/>
        <charset val="134"/>
      </rPr>
      <t>文件资质齐全可以出</t>
    </r>
    <r>
      <rPr>
        <sz val="9"/>
        <color rgb="FF000000"/>
        <rFont val="微软雅黑"/>
        <charset val="134"/>
      </rPr>
      <t>，双清包税到门，17/kg</t>
    </r>
  </si>
  <si>
    <t>按1740KGS合计</t>
  </si>
  <si>
    <t>备注</t>
  </si>
  <si>
    <t>尾端是当地物流派送，无卸货上楼、指定签收单、预约派送
不含：国内提货费，保险费，二次包装费，存储费、送货时的卡车等待费、停车费等，如产生其他费用实报实销</t>
  </si>
  <si>
    <t>不含：国内提货费，保险费，二次包装费，存储费、送货时的卡车等待费、卸货上楼费、停车费等，如产生其他费用实报实销</t>
  </si>
  <si>
    <r>
      <rPr>
        <b/>
        <sz val="9"/>
        <color rgb="FF000000"/>
        <rFont val="微软雅黑"/>
        <charset val="134"/>
      </rPr>
      <t>需要文件、资质齐全(MSDS等)</t>
    </r>
    <r>
      <rPr>
        <sz val="9"/>
        <color rgb="FF000000"/>
        <rFont val="微软雅黑"/>
        <charset val="134"/>
      </rPr>
      <t xml:space="preserve">
不含：国内提货费，保险费，二次包装费，存储费、送货时的卡车等待费、卸货上楼费、停车费等，如产生其他费用实报实销</t>
    </r>
  </si>
  <si>
    <t>时效</t>
  </si>
  <si>
    <t>约50-55天左右，受天气原因影响较大，有晚开船、晚到港的情况，如遇托班/海关查验时间顺延</t>
  </si>
  <si>
    <t>约45天左右，受天气原因影响较大，有晚开船、晚到港的情况，如遇托班/海关查验时间顺延</t>
  </si>
  <si>
    <t>赔付标准</t>
  </si>
  <si>
    <t>/</t>
  </si>
  <si>
    <t>赔付标准：电池专线赔偿标准：在运输过程中如货物丢失赔偿RMB40/kg，不退运费，尾程提取后丢失按照快递公司官方赔偿标准进行赔偿,最高不超过100美金/票</t>
  </si>
  <si>
    <t>赔偿声明：1、货物部分损坏或内装物品个别丢失不给予赔偿，贵重产品我司建议自行购买保险。2、提取前丢件（海关查验除外）超90天未提取，按照丢失货物采购价值赔偿，最高赔偿金额不超过RMB30/KG（不退运费），赔偿时请提供未上架/未收货证明、采购发票、付款证明等，赔偿金额抵扣后续出货运费！3、提取后丢失填写索赔函索赔，最高不超USD100/箱。赔偿金额抵扣后续出货运费！4、如提取派送异常，必须在15天内申请调查（以官网更新的最后一条信息时间为准)，否则只接受调查不接受索赔。超过DPD/UPS异常件最长受理期限(30天内)，DPD/UPS不予调查，超期件将不予受理。5、如因为快递爆仓或亚马逊仓爆仓导致货物无法正常派送入仓的我司会督促并协助处理，但造成的时效延误概不予以任何赔偿。6、如液体类、膏状类产品因包装不合规导致泄露海关销毁的或纯电池类产品起火爆炸的我司不予赔偿，严重者我司追求其责任。7、如遇自然灾害（火灾、水灾、地震等）或当地罢工等不可抗因素导致货物丢失的我司不承担赔偿责任。8、如因客户申报产品品名，品牌，数量，价值与实际不符，或CE等产品认证无法提供配合所产生的任何问题，我司不承担任何责任！</t>
  </si>
  <si>
    <t>2件展示柜/5.46cbm/910kg</t>
  </si>
  <si>
    <t>货值 100000</t>
  </si>
  <si>
    <t>货交深圳-新加坡：</t>
  </si>
  <si>
    <t>越海速达</t>
  </si>
  <si>
    <t>骐盛</t>
  </si>
  <si>
    <t>费用明细</t>
  </si>
  <si>
    <t>海运双清含税: 500元/cbm
不含卸货拆箱等
如需拆箱：500元*2=1000
时效：运输时间：12-15个工作日左右
新加坡进口GST：9%</t>
  </si>
  <si>
    <t>海运双清含税: 
380RMB/CBM
不含卸货拆箱等
运输时间：近期船期乱，时效不稳定不做保证
新加坡进口GST：9%</t>
  </si>
  <si>
    <t>运费小计</t>
  </si>
  <si>
    <t>税-9%</t>
  </si>
  <si>
    <t>货交深圳-英国：</t>
  </si>
  <si>
    <t>拓宇</t>
  </si>
  <si>
    <t>海运双清含税: 
14.5/KG
开船后时效50天左右到
可以帮忙卸货、不能拆箱</t>
  </si>
  <si>
    <t>税-20%</t>
  </si>
  <si>
    <t>国内-澳门</t>
  </si>
  <si>
    <t>2件展示柜</t>
  </si>
  <si>
    <t>210*130*100</t>
  </si>
  <si>
    <t>粮食标本：</t>
  </si>
  <si>
    <t>3.68*3.68*3.68mm</t>
  </si>
  <si>
    <t>预估</t>
  </si>
  <si>
    <t>电子屏：</t>
  </si>
  <si>
    <t>61x35x1mm</t>
  </si>
  <si>
    <t xml:space="preserve"> 酿酒陶坛</t>
  </si>
  <si>
    <t>25*15*6 mm</t>
  </si>
  <si>
    <t>总重量：</t>
  </si>
  <si>
    <t>930kg</t>
  </si>
  <si>
    <t>地址：</t>
  </si>
  <si>
    <t>澳门，地址：羅理基博士大馬路223-225號南光大廈一層</t>
  </si>
  <si>
    <t>一诺物流-新代理，未合作</t>
  </si>
  <si>
    <t>雄展货运--未合作，新代理</t>
  </si>
  <si>
    <t xml:space="preserve">运费：RMB 8/kg+500派送                      卸货:RMB 300/人/小时--按照2小时2人计算
拆包装: RMB 300/个木箱（如果有纸箱免费一起清）--按照2木箱计算
扔垃圾:RMB 600                                     需要送代理珠海仓库                                                         </t>
  </si>
  <si>
    <t>送到珠海仓：集运价格3元/kg，澳门派送费800元/次 卸货上楼并拆清费用：1200元</t>
  </si>
  <si>
    <t>小计：</t>
  </si>
  <si>
    <t>不含：</t>
  </si>
  <si>
    <t>保险费，查验费，待时费，国内转运费（天津-珠海），包装费</t>
  </si>
  <si>
    <t>时效：</t>
  </si>
  <si>
    <t>约2-3天，海关查验顺延</t>
  </si>
  <si>
    <t>约2天，海关查验顺延</t>
  </si>
  <si>
    <t>深圳-澳洲 海运专线</t>
  </si>
  <si>
    <t>澳凯-海运专线--新代理未合作</t>
  </si>
  <si>
    <t>蓝鹰-海运专线--新代理未合作</t>
  </si>
  <si>
    <t>澳洲-海运专线</t>
  </si>
  <si>
    <t>货交深圳
粮食标本不接，展板、电子屏、酿酒陶坛三个产品做一票
材积/6000
7/kg海运包税到门，超大件派送费500/票</t>
  </si>
  <si>
    <t>粮食标本不接
货交深圳，悉尼地址，人民币11/KG ,  超长费 300元/件， 超重费 300元/件， 尾板费500元/票</t>
  </si>
  <si>
    <t>展会货物建议尽早出运，以免遇到晚开船/查验等导致延误。
到货后不能指定日期&amp;时间签收，只能送到会展门口，尾端派送只负责卸货，不搬运至场地内部。
不含：国内提货费，保险费，包装费，存储费、送货时的卡车等待费、停车费等，如产生其他费用实报实销</t>
  </si>
  <si>
    <t>展会货物建议尽早出运，以免遇到晚开船/查验等导致延误。
只能送到会展门口，可以指定日期送货，不能指定时间段送货。
不含：国内提货费，保险费，包装费，存储费、送货时的卡车等待费、停车费等，如产生其他费用实报实销</t>
  </si>
  <si>
    <t>开船后25-30天左右签收，受天气原因影响较大，有晚开船、晚到港的情况，如遇托班/海关查验时间顺延</t>
  </si>
  <si>
    <t>开船后约25-35天左右到，海运受天气原因影响较大，有晚开船、晚到港的情况，如遇托班/海关查验时间顺延</t>
  </si>
  <si>
    <t>货物丢件 赔偿20/kg 不退运费</t>
  </si>
  <si>
    <t>海运产品：1.按公斤计费：1）国内出港前丢件按照20元/kg赔偿并退运费；2）出港后至末端签收前丢件按照20元/kg赔偿不退运费2.按方计费：1）国内出港前去件RMB1000/CBM，仅对丢失部分进行赔偿开退运费2）出港后至末端签收丢件按RMB1000/CBM仅对丢失部分进行赔偿，不退运费</t>
  </si>
  <si>
    <t>深圳-香港 快件过港</t>
  </si>
  <si>
    <t>海阳中港</t>
  </si>
  <si>
    <t>香港-快件过港</t>
  </si>
  <si>
    <t>下港1.5/KG 走海运
粮食标本只能少量出，量大涉政，数量变多了需要重新确认。
交会展1700元，拆箱丢垃圾1000元，杂费实报实销</t>
  </si>
  <si>
    <t>展会货物建议尽早出运，以免遇到晚开船/查验等导致延误。
可以送到展馆，可以指定日期和时间段送货
不含：香港杂费实报实销，国内提货费，保险费，包装费，存储费、送货时的卡车等待费、停车费等，如产生其他费用实报实销</t>
  </si>
  <si>
    <t>约3-4个工作日过港（不含派送时间），如遇海关查验时间顺延，参考之前货物过港遇到查验退运，约2周左右重新发出</t>
  </si>
  <si>
    <t>达拉斯自建机房</t>
  </si>
  <si>
    <t>新加坡</t>
  </si>
  <si>
    <t>旧</t>
  </si>
  <si>
    <t>耗材</t>
  </si>
  <si>
    <t>CE88-D8CQ板卡</t>
  </si>
  <si>
    <t>达拉斯-新加坡</t>
  </si>
  <si>
    <t>快递方案</t>
  </si>
  <si>
    <t>重量：KG</t>
  </si>
  <si>
    <t>10kg</t>
  </si>
  <si>
    <t>2个纸箱</t>
  </si>
  <si>
    <t>代理：</t>
  </si>
  <si>
    <t>融迅-快递+贸代方案</t>
  </si>
  <si>
    <t xml:space="preserve">提货费：USD300
上楼费：USD180
纸箱包装费：USD60/个
UPS快递费：USD450 预估的
操作费：SGD100
清关费：SGD100
出入库费：SGD45 （一进一出分开收费）
派送费：SGD180
上楼费：SGD180
GST: 9%                                        手续费： 65 SGD
不含仓储费和查验等费用
UPS有其他杂费收取 实报实销
</t>
  </si>
  <si>
    <t>税率：9%</t>
  </si>
  <si>
    <t>总计：（含税）</t>
  </si>
  <si>
    <t>保险费，海关查验费，仓储费，待时费，快递杂费实报实销</t>
  </si>
  <si>
    <t>提货+包装需要2-3天，快递4-6天， 清关+送货2-3天，全程：8-12天，海关查验顺延</t>
  </si>
  <si>
    <t>1.深圳-新加坡--一般贸易成本</t>
  </si>
  <si>
    <t>物流指定地址</t>
  </si>
  <si>
    <t>新加坡GS机房</t>
  </si>
  <si>
    <t>新</t>
  </si>
  <si>
    <t>网络设备</t>
  </si>
  <si>
    <t>Nokia 7750-SR-1（每台2块100G接口卡）</t>
  </si>
  <si>
    <t>OTNS8600-DCI8</t>
  </si>
  <si>
    <t>OTMT2光转换单元</t>
  </si>
  <si>
    <t>深圳-新加坡</t>
  </si>
  <si>
    <t>一般贸易过港+双清方案</t>
  </si>
  <si>
    <t xml:space="preserve">
BY HK CX RMB 25/KG  + 验电RMB 500
操作费RMB 200 
报关费RMB 300 +申报税200
香港杂费实报实销
注：请贴好电池标签交货
SIN local
报关费 SGD100
操作费 SGD0.3/KG; MIN SGD35
卡车费：SGD 180
人工&amp;卸货 SGD 180
拆包装和回收垃圾 SGD200
GST 9% (金额过大，需要提前预付）
代理税金操作费：65 SGD
</t>
  </si>
  <si>
    <t xml:space="preserve">如一般贸易过港，                         需要增加报关+过港费                    预计：CNY 4500.00                  运费：CNY 38.00                                预约：CNY 500.00                                 卸货上楼：CNY 500                          尺寸要求：80X80X120M，                      超40KG -500CNY                           
</t>
  </si>
  <si>
    <t>税金：0+9%</t>
  </si>
  <si>
    <t>汇损：4%</t>
  </si>
  <si>
    <t>保险费，海关查验费，国内转运费，二次包装费，新加坡仓储费，待时费，香港杂费实报实销</t>
  </si>
  <si>
    <t>保险费，海关查验费，国内转运费，二次包装费，香港杂费实报实销</t>
  </si>
  <si>
    <t>深圳-香港1-2天，香港-新加坡4-5天，全程：5-7天，海关查验顺延</t>
  </si>
  <si>
    <t>备注：一般贸易过港需要发票，箱单，品牌授权</t>
  </si>
  <si>
    <t>2.深圳-新加坡成本</t>
  </si>
  <si>
    <t>100G单模模块 QSFP28-100G-LR4(1310nm,10km,LC)</t>
  </si>
  <si>
    <t>100G多模模块 QSFP28-100G-SR4(850nm,0.1km,MPO)</t>
  </si>
  <si>
    <t>MPO（100g多模） 10m</t>
  </si>
  <si>
    <t>光纤跳线 单模（LC-LC）10m</t>
  </si>
  <si>
    <t>AOC（25g）5m</t>
  </si>
  <si>
    <t>标签纸A4</t>
  </si>
  <si>
    <t>理线架</t>
  </si>
  <si>
    <t>魔术贴</t>
  </si>
  <si>
    <t>扎带</t>
  </si>
  <si>
    <t>30kg</t>
  </si>
  <si>
    <t>越海速达-双清</t>
  </si>
  <si>
    <t xml:space="preserve">运费：CNY 45.00/kg低于30KG                         预约：CNY 500.00                                 卸货上楼：CNY 500                          尺寸要求：80X80X120M， 不能超40KG                          
</t>
  </si>
  <si>
    <t>保险费，海关查验费，国内转运费，二次包装费，超重和超尺费</t>
  </si>
  <si>
    <t>起运后4-6天，海关查验顺延</t>
  </si>
  <si>
    <t>达拉斯DB1机房</t>
  </si>
  <si>
    <t>北京门头沟</t>
  </si>
  <si>
    <t>MPO（100g多模） 15m</t>
  </si>
  <si>
    <t>香港-达拉斯贸易代理方案：</t>
  </si>
  <si>
    <t>贸易代理方案</t>
  </si>
  <si>
    <t>重量：</t>
  </si>
  <si>
    <t>DFW/HK EK/Q45/RMB84/KG/HKG-DXB-DFW</t>
  </si>
  <si>
    <t>操作费：RMB200</t>
  </si>
  <si>
    <t>报关费：RMB300</t>
  </si>
  <si>
    <r>
      <rPr>
        <sz val="10.5"/>
        <color rgb="FF000000"/>
        <rFont val="宋体"/>
        <charset val="134"/>
      </rPr>
      <t>验电费：</t>
    </r>
    <r>
      <rPr>
        <sz val="10.5"/>
        <color rgb="FF000000"/>
        <rFont val="Arial"/>
        <charset val="134"/>
      </rPr>
      <t xml:space="preserve"> RMB 500</t>
    </r>
  </si>
  <si>
    <t>香港杂费实报实销</t>
  </si>
  <si>
    <t>最低收费45kg</t>
  </si>
  <si>
    <t>小计</t>
  </si>
  <si>
    <t>DFW local</t>
  </si>
  <si>
    <r>
      <rPr>
        <sz val="10.5"/>
        <color rgb="FF000000"/>
        <rFont val="宋体"/>
        <charset val="134"/>
      </rPr>
      <t>报关费</t>
    </r>
    <r>
      <rPr>
        <sz val="10.5"/>
        <color rgb="FF000000"/>
        <rFont val="Arial"/>
        <charset val="134"/>
      </rPr>
      <t>USD150</t>
    </r>
  </si>
  <si>
    <r>
      <rPr>
        <sz val="10.5"/>
        <color rgb="FF000000"/>
        <rFont val="宋体"/>
        <charset val="134"/>
      </rPr>
      <t>航站费</t>
    </r>
    <r>
      <rPr>
        <sz val="10.5"/>
        <color rgb="FF000000"/>
        <rFont val="Arial"/>
        <charset val="134"/>
      </rPr>
      <t>USD280</t>
    </r>
  </si>
  <si>
    <t>贸易代理费USD200</t>
  </si>
  <si>
    <t>操作费USD45</t>
  </si>
  <si>
    <r>
      <rPr>
        <sz val="10.5"/>
        <color rgb="FF000000"/>
        <rFont val="宋体"/>
        <charset val="134"/>
      </rPr>
      <t>送货费</t>
    </r>
    <r>
      <rPr>
        <sz val="10.5"/>
        <color rgb="FF000000"/>
        <rFont val="Arial"/>
        <charset val="134"/>
      </rPr>
      <t>USD385</t>
    </r>
    <r>
      <rPr>
        <sz val="10.5"/>
        <color rgb="FF000000"/>
        <rFont val="宋体"/>
        <charset val="134"/>
      </rPr>
      <t>（预估，有具体地址后再确认）</t>
    </r>
  </si>
  <si>
    <r>
      <rPr>
        <sz val="10.5"/>
        <color rgb="FF000000"/>
        <rFont val="宋体"/>
        <charset val="134"/>
      </rPr>
      <t>人工费</t>
    </r>
    <r>
      <rPr>
        <sz val="10.5"/>
        <color rgb="FF000000"/>
        <rFont val="Arial"/>
        <charset val="134"/>
      </rPr>
      <t>USD200</t>
    </r>
  </si>
  <si>
    <t>仓储费实报实销</t>
  </si>
  <si>
    <t>待时费USD75/hr，1小时免费</t>
  </si>
  <si>
    <t>2hr</t>
  </si>
  <si>
    <t>美国费用小计</t>
  </si>
  <si>
    <t>合计 （不含保险+税金）</t>
  </si>
  <si>
    <t>两票货物如需一起到香港发运，预估增加4000.00</t>
  </si>
  <si>
    <t>税金实报实销</t>
  </si>
  <si>
    <t xml:space="preserve">路由器：20%+7.5%+0.3464% </t>
  </si>
  <si>
    <t>垫付手续费：</t>
  </si>
  <si>
    <t>不含包装费，北京提货费至深圳费用，不含周末清关提货费，不含回收垃圾的费用，保险费</t>
  </si>
  <si>
    <t>11月1日起，美国对中国原产征收100% 的关税，合计：127.8464%， 我们也在关注后续美金的税率。</t>
  </si>
  <si>
    <t>2. 报价明细：</t>
  </si>
  <si>
    <t>法兰克福DRT机房</t>
  </si>
  <si>
    <t>P616 光转换单元</t>
  </si>
  <si>
    <t>单模（LC-LC）10m</t>
  </si>
  <si>
    <t>网线5m</t>
  </si>
  <si>
    <t>北京门头沟库房</t>
  </si>
  <si>
    <t>C13-C14电源线</t>
  </si>
  <si>
    <t>庆阳远达云仓库房</t>
  </si>
  <si>
    <t>交换机</t>
  </si>
  <si>
    <t>CE6865E</t>
  </si>
  <si>
    <t>深圳-法兰克福</t>
  </si>
  <si>
    <t>双清模式</t>
  </si>
  <si>
    <t>100kg</t>
  </si>
  <si>
    <t>融迅--双清含税报价</t>
  </si>
  <si>
    <t>深圳-法兰克福
货交深圳100kg左右
运费CNY68/kg + 操作费CNY200                                  
尾端派送专车+卸货：EUR 800  预估，最后有地址在更新
时效10-15个工作日左右</t>
  </si>
  <si>
    <t>报价为上面所有明细一起出的价格</t>
  </si>
  <si>
    <t>税率：</t>
  </si>
  <si>
    <t>0+19%</t>
  </si>
  <si>
    <t>保险费，包装费，国内转运费，海关查验费，仓储费，待时费</t>
  </si>
  <si>
    <t>全程15-20天，海关查验顺延</t>
  </si>
  <si>
    <t>货物信息：</t>
  </si>
  <si>
    <t>法兰克福</t>
  </si>
  <si>
    <t>5120-48Y</t>
  </si>
  <si>
    <t>达拉斯-法兰克福</t>
  </si>
  <si>
    <t>8kg</t>
  </si>
  <si>
    <t>1纸箱</t>
  </si>
  <si>
    <t xml:space="preserve">提货费：USD300
上楼费：USD180
纸箱包装费：USD60/个
UPS快递费：USD350 预估的
调单费：EUR95
清关费：EUR115
操作费：EUR125
贸易代理费：EUR380
派送费：EUR280 预估的，拼车，不含卸货上楼
如果需要卸货上楼，需要准备地址： EUR 200 预估                                             不含仓储费和查验等费用
Duty和VAT实报实销
UPS有其他杂费收取 实报实销
</t>
  </si>
  <si>
    <t>8.4cny</t>
  </si>
  <si>
    <t>税率：19%</t>
  </si>
  <si>
    <t>提货+包装需要2-3天，快递4-6天，拼车时效：2-3天（从荷兰发运-德国法兰克福），全程：8-12天，海关查验顺延</t>
  </si>
  <si>
    <t xml:space="preserve">香港-新加坡 </t>
  </si>
  <si>
    <t>4PCS/100KG</t>
  </si>
  <si>
    <t>融迅-预估</t>
  </si>
  <si>
    <t xml:space="preserve">香港-新加坡  </t>
  </si>
  <si>
    <t xml:space="preserve">BY HK CX RMB 27/KG  
操作费RMB 150
报关费RMB 300 +申报税实报实销
香港杂费实报实销
注：请贴好电池标签交货
SIN local
报关费 SGD100
操作费 SGD0.3/KG; MIN SGD35
卡车费：SGD 200
人工&amp;卸货 SGD 200
拆包装和回收垃圾 SGD250
GST 9% (金额过大，需要提前预付）
不含仓储费，查验费，待时费等其他额外费用
</t>
  </si>
  <si>
    <t>税金： 9% 实报实销</t>
  </si>
  <si>
    <t>汇损：</t>
  </si>
  <si>
    <t>总计：</t>
  </si>
  <si>
    <t>起运后5-7 个工作日，海关查验顺延</t>
  </si>
  <si>
    <t>保险费，海关查验费，仓储费，待时费，验电费，香港杂费实报实销</t>
  </si>
  <si>
    <t>有效期：本周有效</t>
  </si>
  <si>
    <t>香港-马来方案</t>
  </si>
  <si>
    <t>10万港币</t>
  </si>
  <si>
    <t>TO KUL 45K BY HK MH RMB 26/KG 
操作费RMB 150
报关费RMB 300 +申报税200
香港杂费实报实销
注：请贴好电池标签交货  最低收费45KG
KUL local
报关费：USD35 （有收货人抬头）                      贸易代理费：USD180 （IF NEED)
文件费:  USD35
THC: USD0.3/kg, min USD45
送货费: USD150
卸货上楼费：USD150
如需回收垃圾 USD80
SIRIM：USD180/个
税金：实报实销（超过5万人民币需要预付）</t>
  </si>
  <si>
    <t>税率：0+5%</t>
  </si>
  <si>
    <t>汇损：6%</t>
  </si>
  <si>
    <t>文件：</t>
  </si>
  <si>
    <t>需要办理SIRIM， 英文说明书，发票，箱单，客户的账户密码，办理需要3-5个工作日</t>
  </si>
  <si>
    <t>保险费，海关查验费，仓储费，香港杂费实报实销，</t>
  </si>
  <si>
    <t>香港-马来-专线</t>
  </si>
  <si>
    <t>计费：30kg</t>
  </si>
  <si>
    <t>Level 12, Tower 2A Avenue 5 The Horizon Bangsar South , Kuala Lumpur , Malaysia</t>
  </si>
  <si>
    <t>启文</t>
  </si>
  <si>
    <t>香港-马来：</t>
  </si>
  <si>
    <t xml:space="preserve">RMB44/kg + 操作费RMB200
派送费MYR 450，不含回收垃圾
时效2-4个工作日，再转当地派送1-3个工作日
不含保险、香港本地杂费等
</t>
  </si>
  <si>
    <t xml:space="preserve">运费：CNY 30/kg                                    尾程快递服务+不能指定签收单，只有快递截图             不含卸货，拆托+回收垃圾                                   </t>
  </si>
  <si>
    <t>1.7cny</t>
  </si>
  <si>
    <t xml:space="preserve">起运后：4-7个工作日左右，海关查验顺延                      </t>
  </si>
  <si>
    <t xml:space="preserve">起运后：5-7个工作日左右，海关查验顺延                              </t>
  </si>
  <si>
    <t>保险费，海关查验费，二次包装费，香港杂费实报实销，拆托+回收垃圾，不含香港提货，入仓登记费等</t>
  </si>
  <si>
    <t>有效期：</t>
  </si>
  <si>
    <t>本周有效</t>
  </si>
  <si>
    <t>专线有海关查验或者扣货风险，只能赔付运费，请知悉.</t>
  </si>
  <si>
    <t>香港-菲律宾马尼拉专线   4台Dell PowerEdge R7625  预估重量150KGS</t>
  </si>
  <si>
    <t>香港-菲律宾马尼拉专线</t>
  </si>
  <si>
    <t>深圳-香港操作费预估RMB 2500
如入朗华仓加收RMB 1500左右
货交香港，到菲律宾马尼拉，4PCS/150.0KG
RMB：RMB48/KG（基于散件不打托的价格，如果打托再另行报价）
操作费：RMB200
不含香港本地杂费，香港杂费实报实销
尾端是当地物流派送，做不了额外操作，无指定签收单，不含预约备案，卸货上楼回收垃圾等费用。如果需要的话，先按卸货上楼：USD250，回收垃圾：USD200预估，需要有具体地址后再确认</t>
  </si>
  <si>
    <r>
      <rPr>
        <sz val="9"/>
        <color rgb="FF000000"/>
        <rFont val="微软雅黑"/>
        <charset val="134"/>
      </rPr>
      <t>不含：二次包装费，保险费，存储费、送货时的卡车等待费、停车费等，</t>
    </r>
    <r>
      <rPr>
        <b/>
        <sz val="9"/>
        <color rgb="FF000000"/>
        <rFont val="微软雅黑"/>
        <charset val="134"/>
      </rPr>
      <t>无签收单，</t>
    </r>
    <r>
      <rPr>
        <sz val="9"/>
        <color rgb="FF000000"/>
        <rFont val="微软雅黑"/>
        <charset val="134"/>
      </rPr>
      <t>如产生其他费用实报实销</t>
    </r>
  </si>
  <si>
    <t>约6-8工作日，如遇海关查验时间顺延</t>
  </si>
  <si>
    <t>税率</t>
  </si>
  <si>
    <t>诚哥建议税率
服务器出口菲律宾 HS CODE：8471.50.90 关税：0.00% 增值税12.50%</t>
  </si>
  <si>
    <t>客户提供货值</t>
  </si>
  <si>
    <t>深圳-香港-日本</t>
  </si>
  <si>
    <t>200万人民币</t>
  </si>
  <si>
    <t>一般贸易正清</t>
  </si>
  <si>
    <t>重量：散货KG</t>
  </si>
  <si>
    <t>2600kg</t>
  </si>
  <si>
    <t>托盘KG（计费重量）</t>
  </si>
  <si>
    <t>3000kg</t>
  </si>
  <si>
    <t>15cbm</t>
  </si>
  <si>
    <t>嘉里</t>
  </si>
  <si>
    <t>费用明细：</t>
  </si>
  <si>
    <t xml:space="preserve">深圳-香港：RMB 5500（ 整车费用预估）                               运费：RMB 12.97/KG                 出口清关+杂费：RMB 1775                                               </t>
  </si>
  <si>
    <t xml:space="preserve">CNY2700/12T车
舱单费:CNY100/票
深圳报关费:CNY300
香港清关费:CNY300+申报税 200预估
卸货费:CNY0.55/kg 或者 CNY120/板
香港入仓费，停车费和隧道费等香港本地杂费实报实销 预估1000 左右
TO NRT 2600K 15CBM BY HK CX CNY17/K
验电费CNY500
报关费CNY300+申报税200 预估
</t>
  </si>
  <si>
    <r>
      <rPr>
        <sz val="11"/>
        <color theme="1"/>
        <rFont val="宋体"/>
        <charset val="134"/>
        <scheme val="minor"/>
      </rPr>
      <t xml:space="preserve">目的港清关+杂费：RMB 2400              派送： RMB 5.7/KG MIN 3360 RMB             </t>
    </r>
    <r>
      <rPr>
        <sz val="11"/>
        <color rgb="FFFF0000"/>
        <rFont val="宋体"/>
        <charset val="134"/>
        <scheme val="minor"/>
      </rPr>
      <t xml:space="preserve">等有了最终送货地址和货物信息后再确认  </t>
    </r>
    <r>
      <rPr>
        <sz val="11"/>
        <color theme="1"/>
        <rFont val="宋体"/>
        <charset val="134"/>
        <scheme val="minor"/>
      </rPr>
      <t xml:space="preserve"> 卸货：RMB 70/台                            仓储费：1.5/天/KG        （免3天）  </t>
    </r>
  </si>
  <si>
    <r>
      <rPr>
        <sz val="11"/>
        <color theme="1"/>
        <rFont val="宋体"/>
        <charset val="134"/>
        <scheme val="minor"/>
      </rPr>
      <t>通关费:JPY12800/entry(包含两个税号)
通关手续费:JPY11000/entry
机场保税仓费用:实报实销
THC: JPY48/kg，min JPY6500，按分单收费
操作费: JPY15000/hawb
贸易代理费：货值*3.5%，min JPY35000（如需）
消费税，进口关税:实报实销
提派费：JPY399800 预估的，</t>
    </r>
    <r>
      <rPr>
        <sz val="11"/>
        <color rgb="FFFF0000"/>
        <rFont val="宋体"/>
        <charset val="134"/>
        <scheme val="minor"/>
      </rPr>
      <t>等有了最终送货地址和货物信息后再确认</t>
    </r>
    <r>
      <rPr>
        <sz val="11"/>
        <color theme="1"/>
        <rFont val="宋体"/>
        <charset val="134"/>
        <scheme val="minor"/>
      </rPr>
      <t xml:space="preserve">
Hand lift: JPY6000/台（现场没有叉车和Hand lift时需要用）-2台计算
送上楼：JPY35000/人*4 人
如果需要处理包装，根据实际情况再报价吧
</t>
    </r>
  </si>
  <si>
    <t>8天 100台</t>
  </si>
  <si>
    <t>小计：托盘计算</t>
  </si>
  <si>
    <t>税率：0+10% 实报实销</t>
  </si>
  <si>
    <t>汇损：实报实销</t>
  </si>
  <si>
    <t>总计：（托盘+税金）</t>
  </si>
  <si>
    <t>保险费，国内中转费，香港杂费实报实销，不含日本拆托+回收垃圾，待时费,海关查验费</t>
  </si>
  <si>
    <t>保险费，国内中转费，香港杂费实报实销，不含日本拆托+回收垃圾，待时费,海关查验费，机场保税仓费用,仓储费</t>
  </si>
  <si>
    <t>深圳-香港预计2天时间，香港-日本预计4-6天，预计全程6-8天，海关查验顺延</t>
  </si>
  <si>
    <t>发票，箱单，POA， 不需要其他认证</t>
  </si>
  <si>
    <t>搬迁数量</t>
  </si>
  <si>
    <t>搬出地点：</t>
  </si>
  <si>
    <t>搬入地点：</t>
  </si>
  <si>
    <t>马来西亚柔佛州新山市</t>
  </si>
  <si>
    <t>汇率SGD</t>
  </si>
  <si>
    <t>货币：USD</t>
  </si>
  <si>
    <t>报价测算</t>
  </si>
  <si>
    <t>收费说明</t>
  </si>
  <si>
    <t>汇率USD</t>
  </si>
  <si>
    <t>1、新加坡-&gt;马来西亚费用：</t>
  </si>
  <si>
    <t>SGD</t>
  </si>
  <si>
    <t>USD</t>
  </si>
  <si>
    <t>物流费（陆运）</t>
  </si>
  <si>
    <t>USD780/40GP
USD620/20GP</t>
  </si>
  <si>
    <t>2个40尺柜车，22个箱子一车，20尺装11个箱子</t>
  </si>
  <si>
    <t>木托+减震</t>
  </si>
  <si>
    <t>SGD50/木托</t>
  </si>
  <si>
    <r>
      <rPr>
        <sz val="14"/>
        <rFont val="Arial"/>
        <charset val="134"/>
      </rPr>
      <t>7</t>
    </r>
    <r>
      <rPr>
        <sz val="14"/>
        <rFont val="宋体"/>
        <charset val="134"/>
      </rPr>
      <t>个托盘预估</t>
    </r>
  </si>
  <si>
    <t>包装费</t>
  </si>
  <si>
    <t>SGD60/木箱</t>
  </si>
  <si>
    <t>装可回收利用木箱</t>
  </si>
  <si>
    <t>托盘包装不产生</t>
  </si>
  <si>
    <t>木箱费</t>
  </si>
  <si>
    <t>SGD480/木箱</t>
  </si>
  <si>
    <t>制作可回收利用木箱</t>
  </si>
  <si>
    <t>木箱仓储费</t>
  </si>
  <si>
    <t>SGD400/月</t>
  </si>
  <si>
    <t>50个木箱存储费，按天计算，按累计月收费</t>
  </si>
  <si>
    <t>操作费</t>
  </si>
  <si>
    <t>SGD100</t>
  </si>
  <si>
    <t>贸易代理费</t>
  </si>
  <si>
    <t>提货费</t>
  </si>
  <si>
    <t>1U SGD9/台
2U SGD12/台
3U SGD15/台
4U SGD18/台
8U SGD30/台
16U SGD300/台</t>
  </si>
  <si>
    <t>提货+人工（2U的设备摞放6层，4U设备+2U叠放，8U和16U放单层）</t>
  </si>
  <si>
    <t>出口报关费</t>
  </si>
  <si>
    <t>一次性下架短驳费用</t>
  </si>
  <si>
    <t>SGD200/22托</t>
  </si>
  <si>
    <t>货物就近短驳入库</t>
  </si>
  <si>
    <t>仓储费</t>
  </si>
  <si>
    <t>1.5SGD/拖/天</t>
  </si>
  <si>
    <t>库房免费3天</t>
  </si>
  <si>
    <t>按一周预估</t>
  </si>
  <si>
    <t>出入库费</t>
  </si>
  <si>
    <t>SGD3.5/拖*2</t>
  </si>
  <si>
    <t>出入库各收一次</t>
  </si>
  <si>
    <t>新加坡VAT 9%</t>
  </si>
  <si>
    <t>加9%</t>
  </si>
  <si>
    <t>本地杂费需要加9%，过境卡车运输不需要</t>
  </si>
  <si>
    <t>2、马来西亚费用：</t>
  </si>
  <si>
    <t>报关费</t>
  </si>
  <si>
    <t>USD50/票</t>
  </si>
  <si>
    <t>USD100/票</t>
  </si>
  <si>
    <t>如果需要</t>
  </si>
  <si>
    <t>SIRIM办理</t>
  </si>
  <si>
    <t>USD100/品名，Max USD300/票</t>
  </si>
  <si>
    <t>回收垃圾费</t>
  </si>
  <si>
    <t>USD100/车</t>
  </si>
  <si>
    <t>工程师装卸，工人回收垃圾和木箱</t>
  </si>
  <si>
    <t>等时费</t>
  </si>
  <si>
    <t>USD50/车/小时</t>
  </si>
  <si>
    <t>免费等待4小时，超过收取</t>
  </si>
  <si>
    <t>按不产生预估</t>
  </si>
  <si>
    <t>回收木箱费</t>
  </si>
  <si>
    <t>USD550/车</t>
  </si>
  <si>
    <t>回收木箱送回新加坡</t>
  </si>
  <si>
    <t>次日二次派送费</t>
  </si>
  <si>
    <t>USD450/车</t>
  </si>
  <si>
    <t>包括出入库USD100,次日派送费及回收垃圾木箱，如果需要</t>
  </si>
  <si>
    <t>仓储费-空木箱</t>
  </si>
  <si>
    <t>USD250/月</t>
  </si>
  <si>
    <t>空木箱存储</t>
  </si>
  <si>
    <t>仓储费-设备</t>
  </si>
  <si>
    <t>USD1/拖/天</t>
  </si>
  <si>
    <t>马来西亚空木箱出口报关</t>
  </si>
  <si>
    <t>马来西亚空木箱贸易代理</t>
  </si>
  <si>
    <t>3、木箱回运新加坡费用</t>
  </si>
  <si>
    <t>SGD100/票</t>
  </si>
  <si>
    <t>贸易代理</t>
  </si>
  <si>
    <t>进口报关费</t>
  </si>
  <si>
    <t>木箱GST</t>
  </si>
  <si>
    <t>9%</t>
  </si>
  <si>
    <t>可以按1个木箱50申报</t>
  </si>
  <si>
    <t>新加坡装卸入库</t>
  </si>
  <si>
    <t>SGD100/车</t>
  </si>
  <si>
    <t>4、海关验费</t>
  </si>
  <si>
    <t>物流费</t>
  </si>
  <si>
    <t>USD100</t>
  </si>
  <si>
    <t>如果发生</t>
  </si>
  <si>
    <t>未算入总计</t>
  </si>
  <si>
    <t>海关查验费用</t>
  </si>
  <si>
    <t>送检扣仓费用</t>
  </si>
  <si>
    <t>实报实销</t>
  </si>
  <si>
    <t>海关指定机构检测费用</t>
  </si>
  <si>
    <t>服务SST 5%</t>
  </si>
  <si>
    <t>按实际产生，见下方税率预估</t>
  </si>
  <si>
    <t>总计运费</t>
  </si>
  <si>
    <t>不含税金和保险，如改为木箱包装将多产生RMB10000左右的费用</t>
  </si>
  <si>
    <t>税率（服务器按USD1000/台，服务器按USD500/台预算），加5%汇损</t>
  </si>
  <si>
    <t>备注：1.不含马来和新加坡存储费及海关查验产生的费用等。）</t>
  </si>
  <si>
    <t>货值太低，周总目前再问马来货值能否报这么低，这么多旧货海关查到也有一定风险，</t>
  </si>
  <si>
    <t>运输时间9-12天，如提前申请sirim许可证可以提速到4个工作日左右（如遇海关查验时间顺延），申请sirim （需要箱单、发票、产品英文说明书办理许可证）</t>
  </si>
  <si>
    <t>模块税率20%（10月22日尝试按5%申报），光纤10%，网线40%，设备5%</t>
  </si>
  <si>
    <t>北京-沙特 宣传册&amp;伴手礼 客户提供重量120KGS</t>
  </si>
  <si>
    <t>银顺达--专线方案</t>
  </si>
  <si>
    <t>银顺达--快递方案</t>
  </si>
  <si>
    <r>
      <rPr>
        <b/>
        <sz val="9"/>
        <color theme="1"/>
        <rFont val="微软雅黑"/>
        <charset val="134"/>
      </rPr>
      <t>双清包税专线，无牌不侵权：</t>
    </r>
    <r>
      <rPr>
        <sz val="9"/>
        <color theme="1"/>
        <rFont val="微软雅黑"/>
        <charset val="134"/>
      </rPr>
      <t xml:space="preserve">
货交深圳，55元/kg+派送费：800元   空派双清包税
只能送展会门口，可以指定日期送货</t>
    </r>
  </si>
  <si>
    <r>
      <rPr>
        <b/>
        <sz val="9"/>
        <color theme="1"/>
        <rFont val="微软雅黑"/>
        <charset val="134"/>
      </rPr>
      <t xml:space="preserve">快递方案：
</t>
    </r>
    <r>
      <rPr>
        <sz val="9"/>
        <color theme="1"/>
        <rFont val="微软雅黑"/>
        <charset val="134"/>
      </rPr>
      <t>货交深圳，DHL 64/KG，需要收件人清关缴税
只能送展会门口，不可以指定日期送货</t>
    </r>
  </si>
  <si>
    <t>北京-深圳的运输费用，保险费，二次包装费，存储费，送货时的卡车等待费、停车费、回收垃圾的费用，及海关查验产生的相关费用等，如产生其他费用实报实销</t>
  </si>
  <si>
    <r>
      <rPr>
        <b/>
        <sz val="9"/>
        <color theme="1"/>
        <rFont val="微软雅黑"/>
        <charset val="134"/>
      </rPr>
      <t>快递方案需要收货人配合清关、缴税以及提供所需文件</t>
    </r>
    <r>
      <rPr>
        <sz val="9"/>
        <color theme="1"/>
        <rFont val="微软雅黑"/>
        <charset val="134"/>
      </rPr>
      <t xml:space="preserve">
北京-深圳的运输费用，保险费，二次包装费，存储费，送货时的卡车等待费、停车费、回收垃圾的费用，及海关查验产生的相关费用等，如产生其他费用实报实销</t>
    </r>
  </si>
  <si>
    <t>双清包税专线：12-15天左右
展会物资需要提前，不保证时效，如遇海关查验时间顺延</t>
  </si>
  <si>
    <t>DHL：  6天左右
展会物资需要提前，不保证时效，如遇海关查验时间顺延</t>
  </si>
  <si>
    <t>诚哥建议税号如下，有汇损，实报实销，以快递公司税单为准
宣传册 原产地：中国 出口至沙特 HS CODE：49.01.99.90.00.00 关税：0.00% 增值税：15.00%
丝巾 原产地：中国 出口至沙特 HS CODE：62.14.10.00.00.00 关税：5.00% 增值税：15.00%
丝绸扇子 原产地：中国 出口至沙特 HS CODE：63.07.90.99.00.00 关税：5.00% 增值税：15.00%
剪纸画轴 原产地：中国 出口至沙特 HS CODE：48.22.90.00.00.00 关税：5.00% 增值税：15.00%</t>
  </si>
  <si>
    <t>赔偿标准</t>
  </si>
  <si>
    <t>不退运费，40/KG</t>
  </si>
  <si>
    <t>国内-荷兰： 多信达</t>
  </si>
  <si>
    <t>按照您产品尺寸计算体积重是10.1公斤</t>
  </si>
  <si>
    <t>2台*10.1=20.2公斤</t>
  </si>
  <si>
    <t>荷兰双清包税派送上门运费：21*76=1596元</t>
  </si>
  <si>
    <t>空运时效：7-12个工作日</t>
  </si>
  <si>
    <t>香港运费：21*20=420元</t>
  </si>
  <si>
    <t>时效：3天左右</t>
  </si>
  <si>
    <t>银顺达：</t>
  </si>
  <si>
    <t xml:space="preserve">荷兰 12KG 带电   980 空派双清包税到门 12天左右 </t>
  </si>
  <si>
    <t>香港的你们发顺丰就可以了</t>
  </si>
  <si>
    <t>融讯：参考费用如下：</t>
  </si>
  <si>
    <t>货交深圳 45kg</t>
  </si>
  <si>
    <t>AMS/HK EK/Q45/RMB57.5/KG/HKG-DXB-AMS</t>
  </si>
  <si>
    <t>报关费：RMB300+申报税实报实销</t>
  </si>
  <si>
    <t>注：请贴好电池标签交货</t>
  </si>
  <si>
    <t>最低计费45kg</t>
  </si>
  <si>
    <t>AMS local</t>
  </si>
  <si>
    <t>THC: min EUR245</t>
  </si>
  <si>
    <t>文件费：EUR150</t>
  </si>
  <si>
    <t>清关费：EUR95   （EUR8/EXTRA HS CODE）</t>
  </si>
  <si>
    <t>贸易代理费：EUR380 </t>
  </si>
  <si>
    <t>操作费：EUR120</t>
  </si>
  <si>
    <t>派送费：EUR360+EUR150人工费</t>
  </si>
  <si>
    <t>查验费：实报实销 + 服务费EUR200/次</t>
  </si>
  <si>
    <t>其他费用如产生实报实销</t>
  </si>
  <si>
    <t>专线银顺达：</t>
  </si>
  <si>
    <t>荷兰 12KG 带电   980 空派双清包税到门 12天左右 （倒推82/kg)</t>
  </si>
  <si>
    <t>多信达：荷兰双清包税派送上门运费：76/kg</t>
  </si>
  <si>
    <t>第一批： 第一批在上海（长雨伞和短雨伞）</t>
  </si>
  <si>
    <t>实际重量</t>
  </si>
  <si>
    <t>预估KGS</t>
  </si>
  <si>
    <t>KGS</t>
  </si>
  <si>
    <t>华平  专线   协议过期，未合作过</t>
  </si>
  <si>
    <t>越海专线</t>
  </si>
  <si>
    <t>华平--正清</t>
  </si>
  <si>
    <t>提货费合计</t>
  </si>
  <si>
    <t>上海-越南</t>
  </si>
  <si>
    <t>双清（需送到代理仓）
重货：2.5元/KG
兴安派送费150元/票        提货费：首重1KG10RMB，1001KG以上，1.3RMB/KGS，跨越直提直送</t>
  </si>
  <si>
    <t>资料费1500/票，单价4.5/KGS，含税
不含保险费，需要提供货值提货费：首重1KG10RMB，1001KG以上，1.3RMB/KGS，跨越直提直送</t>
  </si>
  <si>
    <r>
      <rPr>
        <sz val="9"/>
        <color theme="1"/>
        <rFont val="宋体"/>
        <charset val="134"/>
        <scheme val="minor"/>
      </rPr>
      <t xml:space="preserve">需送货至代理仓库
国内报关费：400RMB
送货费：200-500元
国外清关费：200USD
40尺柜*2 ：12000RMB*2  如装不下费用上涨， 需工厂装货
所有费用以最终实际为准  提货费：首重1KG10RMB，1001KG以上，1.3RMB/KGS，跨越直提直送
</t>
    </r>
    <r>
      <rPr>
        <sz val="9"/>
        <color rgb="FFFF0000"/>
        <rFont val="宋体"/>
        <charset val="134"/>
        <scheme val="minor"/>
      </rPr>
      <t>收货人缴纳， 如上报价不含税金
不含保险费，需要提供货值</t>
    </r>
  </si>
  <si>
    <t>陆运灰清的，未购买保险，丢失按运费3-5倍赔偿，如果需要，保险可以按货值3%购买，如果丢失，全赔。</t>
  </si>
  <si>
    <t>不赔付</t>
  </si>
  <si>
    <t>正清出口所需文件：发票箱单 授权委托书， 申报要素等全套清关文件
越南进口：需提前签署POA及其他清关文件
不赔付</t>
  </si>
  <si>
    <t>不含</t>
  </si>
  <si>
    <t>不含保险费，需要提供货值/卸货费/二次包装费及其他实报实销费用</t>
  </si>
  <si>
    <t>不含国外税金，保险费，需要提供货值/卸货费/二次包装费及其他实报实销费用</t>
  </si>
  <si>
    <t>专线10-12工作日左右， 不提供税单等文件
一般贸易出口放行后10-12工作日左右
如海关查验时间顺延</t>
  </si>
  <si>
    <t>第2批： 第一批在深圳（风扇）</t>
  </si>
  <si>
    <t>27000KGS</t>
  </si>
  <si>
    <t>深圳-越南</t>
  </si>
  <si>
    <t xml:space="preserve">灰清包税（需送到代理仓）
-散拼--带电池
重货：3元/KG
兴安派送费150元/票                    专车  2000/车  需要3个车  成本6000左右 </t>
  </si>
  <si>
    <t>首重1KG价格，1001KG以上，1.3RMB/KGS
资料费1500一票，单价4.5/KGS，含税</t>
  </si>
  <si>
    <r>
      <rPr>
        <sz val="11"/>
        <color theme="1"/>
        <rFont val="宋体"/>
        <charset val="134"/>
        <scheme val="minor"/>
      </rPr>
      <t xml:space="preserve">国内报关费：400RMB
送货费：200-500元
国外清关费：200USD
40尺柜*2 ：12000RMB*2  如装不下费用上涨， 需工厂装货
所有费用以最终实际为准
</t>
    </r>
    <r>
      <rPr>
        <sz val="11"/>
        <color rgb="FFFF0000"/>
        <rFont val="宋体"/>
        <charset val="134"/>
        <scheme val="minor"/>
      </rPr>
      <t>税金实报实销， 请收货人缴纳， 如上报价不含税金（客户没提供货值）</t>
    </r>
  </si>
  <si>
    <r>
      <rPr>
        <sz val="9"/>
        <color rgb="FFFF0000"/>
        <rFont val="宋体"/>
        <charset val="134"/>
        <scheme val="minor"/>
      </rPr>
      <t>正清出口</t>
    </r>
    <r>
      <rPr>
        <sz val="9"/>
        <color theme="1"/>
        <rFont val="宋体"/>
        <charset val="134"/>
        <scheme val="minor"/>
      </rPr>
      <t xml:space="preserve">：发票箱单 授权委托书， 申报要素等全套清关文件，电池需要msds+陆运运输鉴定书（需要发货前先提供审核）
</t>
    </r>
    <r>
      <rPr>
        <sz val="9"/>
        <color rgb="FFFF0000"/>
        <rFont val="宋体"/>
        <charset val="134"/>
        <scheme val="minor"/>
      </rPr>
      <t>越南进口</t>
    </r>
    <r>
      <rPr>
        <sz val="9"/>
        <color theme="1"/>
        <rFont val="宋体"/>
        <charset val="134"/>
        <scheme val="minor"/>
      </rPr>
      <t xml:space="preserve">：需提前签署POA及其他清关文件
风扇越南需要做商检， 客户收货人做好， 如海关有其他要求也许配合                                           </t>
    </r>
    <r>
      <rPr>
        <sz val="11"/>
        <color theme="1"/>
        <rFont val="宋体"/>
        <charset val="134"/>
        <scheme val="minor"/>
      </rPr>
      <t>不赔付</t>
    </r>
  </si>
  <si>
    <t>专线10-12工作日左右， 不提供税单等文件， 以实际为准
一般贸易出口放行后10-12工作日左右，以实际为准
如海关查验时间顺延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</si>
</sst>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CNY]\ #,##0.00;[$CNY]\ \-#,##0.00"/>
    <numFmt numFmtId="177" formatCode="_(* #,##0_);_(* \(#,##0\);_(* &quot;-&quot;??_);_(@_)"/>
    <numFmt numFmtId="178" formatCode="_(* #,##0.00_);_(* \(#,##0.00\);_(* &quot;-&quot;??_);_(@_)"/>
    <numFmt numFmtId="179" formatCode="\¥#,##0.00;\¥\-#,##0.00"/>
    <numFmt numFmtId="180" formatCode="&quot;US$&quot;#,##0.00;\-&quot;US$&quot;#,##0.00"/>
    <numFmt numFmtId="181" formatCode="&quot;￥&quot;#,##0.00_);[Red]\(&quot;￥&quot;#,##0.00\)"/>
    <numFmt numFmtId="182" formatCode="0_);[Red]\(0\)"/>
    <numFmt numFmtId="183" formatCode="\¥#,##0.00_);[Red]\(\¥#,##0.00\)"/>
  </numFmts>
  <fonts count="61">
    <font>
      <sz val="11"/>
      <color theme="1"/>
      <name val="宋体"/>
      <charset val="134"/>
      <scheme val="minor"/>
    </font>
    <font>
      <sz val="9"/>
      <color rgb="FFFF0000"/>
      <name val="宋体"/>
      <charset val="134"/>
      <scheme val="minor"/>
    </font>
    <font>
      <sz val="9"/>
      <color theme="1"/>
      <name val="宋体"/>
      <charset val="134"/>
      <scheme val="minor"/>
    </font>
    <font>
      <sz val="9"/>
      <color theme="1"/>
      <name val="微软雅黑"/>
      <charset val="134"/>
    </font>
    <font>
      <b/>
      <sz val="9"/>
      <color theme="1"/>
      <name val="微软雅黑"/>
      <charset val="134"/>
    </font>
    <font>
      <sz val="9"/>
      <name val="微软雅黑"/>
      <charset val="134"/>
    </font>
    <font>
      <sz val="14"/>
      <name val="Arial"/>
      <charset val="134"/>
    </font>
    <font>
      <sz val="14"/>
      <name val="宋体"/>
      <charset val="134"/>
    </font>
    <font>
      <b/>
      <sz val="14"/>
      <color rgb="FF16365C"/>
      <name val="宋体"/>
      <charset val="134"/>
    </font>
    <font>
      <b/>
      <sz val="14"/>
      <color rgb="FF404040"/>
      <name val="仿宋"/>
      <charset val="134"/>
    </font>
    <font>
      <sz val="14"/>
      <color rgb="FF000000"/>
      <name val="仿宋"/>
      <charset val="134"/>
    </font>
    <font>
      <b/>
      <sz val="14"/>
      <name val="仿宋"/>
      <charset val="134"/>
    </font>
    <font>
      <sz val="14"/>
      <name val="仿宋"/>
      <charset val="134"/>
    </font>
    <font>
      <sz val="14"/>
      <color rgb="FFFF0000"/>
      <name val="仿宋"/>
      <charset val="134"/>
    </font>
    <font>
      <b/>
      <sz val="14"/>
      <color rgb="FF000000"/>
      <name val="仿宋"/>
      <charset val="134"/>
    </font>
    <font>
      <b/>
      <sz val="14"/>
      <color rgb="FFFF0000"/>
      <name val="仿宋"/>
      <charset val="134"/>
    </font>
    <font>
      <sz val="14"/>
      <color rgb="FFFF0000"/>
      <name val="宋体"/>
      <charset val="134"/>
    </font>
    <font>
      <b/>
      <sz val="10"/>
      <name val="宋体"/>
      <charset val="134"/>
    </font>
    <font>
      <b/>
      <sz val="10"/>
      <name val="Arial"/>
      <charset val="134"/>
    </font>
    <font>
      <sz val="10"/>
      <color rgb="FFFF0000"/>
      <name val="宋体"/>
      <charset val="134"/>
    </font>
    <font>
      <b/>
      <sz val="12"/>
      <name val="宋体"/>
      <charset val="134"/>
    </font>
    <font>
      <b/>
      <sz val="12"/>
      <name val="Arial"/>
      <charset val="134"/>
    </font>
    <font>
      <sz val="10"/>
      <name val="Arial"/>
      <charset val="134"/>
    </font>
    <font>
      <b/>
      <sz val="12"/>
      <color rgb="FFFF0000"/>
      <name val="宋体"/>
      <charset val="134"/>
    </font>
    <font>
      <b/>
      <sz val="12"/>
      <color rgb="FFFF0000"/>
      <name val="Arial"/>
      <charset val="134"/>
    </font>
    <font>
      <b/>
      <sz val="10"/>
      <color rgb="FFFF0000"/>
      <name val="Arial"/>
      <charset val="134"/>
    </font>
    <font>
      <sz val="10"/>
      <color rgb="FFFF0000"/>
      <name val="Arial"/>
      <charset val="134"/>
    </font>
    <font>
      <b/>
      <sz val="14"/>
      <name val="Arial"/>
      <charset val="134"/>
    </font>
    <font>
      <sz val="11"/>
      <color rgb="FFFF0000"/>
      <name val="宋体"/>
      <charset val="134"/>
      <scheme val="minor"/>
    </font>
    <font>
      <b/>
      <sz val="11"/>
      <color theme="1"/>
      <name val="宋体"/>
      <charset val="134"/>
      <scheme val="minor"/>
    </font>
    <font>
      <sz val="9"/>
      <color rgb="FF000000"/>
      <name val="微软雅黑"/>
      <charset val="134"/>
    </font>
    <font>
      <sz val="11"/>
      <color theme="1"/>
      <name val="宋体"/>
      <charset val="134"/>
    </font>
    <font>
      <sz val="10.5"/>
      <color rgb="FF000000"/>
      <name val="宋体"/>
      <charset val="134"/>
    </font>
    <font>
      <sz val="10"/>
      <color rgb="FF000000"/>
      <name val="宋体"/>
      <charset val="134"/>
    </font>
    <font>
      <b/>
      <sz val="11"/>
      <color rgb="FFFF0000"/>
      <name val="宋体"/>
      <charset val="134"/>
      <scheme val="minor"/>
    </font>
    <font>
      <sz val="10"/>
      <color theme="1"/>
      <name val="宋体"/>
      <charset val="134"/>
    </font>
    <font>
      <sz val="11"/>
      <name val="宋体"/>
      <charset val="134"/>
    </font>
    <font>
      <sz val="10.5"/>
      <name val="宋体"/>
      <charset val="134"/>
    </font>
    <font>
      <b/>
      <sz val="11"/>
      <name val="宋体"/>
      <charset val="134"/>
      <scheme val="minor"/>
    </font>
    <font>
      <sz val="10.5"/>
      <color rgb="FF000000"/>
      <name val="Arial"/>
      <charset val="134"/>
    </font>
    <font>
      <sz val="10.5"/>
      <color theme="8" tint="-0.25"/>
      <name val="宋体"/>
      <charset val="134"/>
    </font>
    <font>
      <b/>
      <sz val="9"/>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theme="5" tint="0.6"/>
        <bgColor indexed="64"/>
      </patternFill>
    </fill>
    <fill>
      <patternFill patternType="solid">
        <fgColor theme="8" tint="0.4"/>
        <bgColor indexed="64"/>
      </patternFill>
    </fill>
    <fill>
      <patternFill patternType="solid">
        <fgColor theme="0"/>
        <bgColor indexed="64"/>
      </patternFill>
    </fill>
    <fill>
      <patternFill patternType="solid">
        <fgColor rgb="FFDDD9C4"/>
        <bgColor indexed="64"/>
      </patternFill>
    </fill>
    <fill>
      <patternFill patternType="solid">
        <fgColor rgb="FFFFFF00"/>
        <bgColor indexed="64"/>
      </patternFill>
    </fill>
    <fill>
      <patternFill patternType="solid">
        <fgColor theme="8" tint="0.8"/>
        <bgColor indexed="64"/>
      </patternFill>
    </fill>
    <fill>
      <patternFill patternType="solid">
        <fgColor rgb="FFFFFFFF"/>
        <bgColor indexed="64"/>
      </patternFill>
    </fill>
    <fill>
      <patternFill patternType="solid">
        <fgColor theme="9" tint="0.6"/>
        <bgColor indexed="64"/>
      </patternFill>
    </fill>
    <fill>
      <patternFill patternType="solid">
        <fgColor rgb="FFFFC000"/>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12" borderId="27"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8" applyNumberFormat="0" applyFill="0" applyAlignment="0" applyProtection="0">
      <alignment vertical="center"/>
    </xf>
    <xf numFmtId="0" fontId="48" fillId="0" borderId="28" applyNumberFormat="0" applyFill="0" applyAlignment="0" applyProtection="0">
      <alignment vertical="center"/>
    </xf>
    <xf numFmtId="0" fontId="49" fillId="0" borderId="29" applyNumberFormat="0" applyFill="0" applyAlignment="0" applyProtection="0">
      <alignment vertical="center"/>
    </xf>
    <xf numFmtId="0" fontId="49" fillId="0" borderId="0" applyNumberFormat="0" applyFill="0" applyBorder="0" applyAlignment="0" applyProtection="0">
      <alignment vertical="center"/>
    </xf>
    <xf numFmtId="0" fontId="50" fillId="13" borderId="30" applyNumberFormat="0" applyAlignment="0" applyProtection="0">
      <alignment vertical="center"/>
    </xf>
    <xf numFmtId="0" fontId="51" fillId="14" borderId="31" applyNumberFormat="0" applyAlignment="0" applyProtection="0">
      <alignment vertical="center"/>
    </xf>
    <xf numFmtId="0" fontId="52" fillId="14" borderId="30" applyNumberFormat="0" applyAlignment="0" applyProtection="0">
      <alignment vertical="center"/>
    </xf>
    <xf numFmtId="0" fontId="53" fillId="15" borderId="32" applyNumberFormat="0" applyAlignment="0" applyProtection="0">
      <alignment vertical="center"/>
    </xf>
    <xf numFmtId="0" fontId="54" fillId="0" borderId="33" applyNumberFormat="0" applyFill="0" applyAlignment="0" applyProtection="0">
      <alignment vertical="center"/>
    </xf>
    <xf numFmtId="0" fontId="55" fillId="0" borderId="34" applyNumberFormat="0" applyFill="0" applyAlignment="0" applyProtection="0">
      <alignment vertical="center"/>
    </xf>
    <xf numFmtId="0" fontId="56" fillId="16" borderId="0" applyNumberFormat="0" applyBorder="0" applyAlignment="0" applyProtection="0">
      <alignment vertical="center"/>
    </xf>
    <xf numFmtId="0" fontId="57" fillId="17" borderId="0" applyNumberFormat="0" applyBorder="0" applyAlignment="0" applyProtection="0">
      <alignment vertical="center"/>
    </xf>
    <xf numFmtId="0" fontId="58" fillId="18" borderId="0" applyNumberFormat="0" applyBorder="0" applyAlignment="0" applyProtection="0">
      <alignment vertical="center"/>
    </xf>
    <xf numFmtId="0" fontId="59"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59" fillId="22" borderId="0" applyNumberFormat="0" applyBorder="0" applyAlignment="0" applyProtection="0">
      <alignment vertical="center"/>
    </xf>
    <xf numFmtId="0" fontId="59" fillId="23" borderId="0" applyNumberFormat="0" applyBorder="0" applyAlignment="0" applyProtection="0">
      <alignment vertical="center"/>
    </xf>
    <xf numFmtId="0" fontId="60" fillId="24" borderId="0" applyNumberFormat="0" applyBorder="0" applyAlignment="0" applyProtection="0">
      <alignment vertical="center"/>
    </xf>
    <xf numFmtId="0" fontId="60"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0"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60" fillId="32" borderId="0" applyNumberFormat="0" applyBorder="0" applyAlignment="0" applyProtection="0">
      <alignment vertical="center"/>
    </xf>
    <xf numFmtId="0" fontId="60" fillId="33" borderId="0" applyNumberFormat="0" applyBorder="0" applyAlignment="0" applyProtection="0">
      <alignment vertical="center"/>
    </xf>
    <xf numFmtId="0" fontId="59" fillId="34" borderId="0" applyNumberFormat="0" applyBorder="0" applyAlignment="0" applyProtection="0">
      <alignment vertical="center"/>
    </xf>
    <xf numFmtId="0" fontId="59" fillId="35" borderId="0" applyNumberFormat="0" applyBorder="0" applyAlignment="0" applyProtection="0">
      <alignment vertical="center"/>
    </xf>
    <xf numFmtId="0" fontId="60" fillId="36" borderId="0" applyNumberFormat="0" applyBorder="0" applyAlignment="0" applyProtection="0">
      <alignment vertical="center"/>
    </xf>
    <xf numFmtId="0" fontId="60" fillId="37" borderId="0" applyNumberFormat="0" applyBorder="0" applyAlignment="0" applyProtection="0">
      <alignment vertical="center"/>
    </xf>
    <xf numFmtId="0" fontId="59" fillId="38" borderId="0" applyNumberFormat="0" applyBorder="0" applyAlignment="0" applyProtection="0">
      <alignment vertical="center"/>
    </xf>
    <xf numFmtId="0" fontId="59" fillId="39" borderId="0" applyNumberFormat="0" applyBorder="0" applyAlignment="0" applyProtection="0">
      <alignment vertical="center"/>
    </xf>
    <xf numFmtId="0" fontId="60" fillId="40" borderId="0" applyNumberFormat="0" applyBorder="0" applyAlignment="0" applyProtection="0">
      <alignment vertical="center"/>
    </xf>
    <xf numFmtId="0" fontId="60" fillId="41" borderId="0" applyNumberFormat="0" applyBorder="0" applyAlignment="0" applyProtection="0">
      <alignment vertical="center"/>
    </xf>
    <xf numFmtId="0" fontId="59" fillId="42" borderId="0" applyNumberFormat="0" applyBorder="0" applyAlignment="0" applyProtection="0">
      <alignment vertical="center"/>
    </xf>
  </cellStyleXfs>
  <cellXfs count="219">
    <xf numFmtId="0" fontId="0" fillId="0" borderId="0" xfId="0">
      <alignment vertical="center"/>
    </xf>
    <xf numFmtId="0" fontId="0" fillId="2" borderId="0" xfId="0" applyFill="1" applyAlignment="1">
      <alignment horizontal="left" vertical="center"/>
    </xf>
    <xf numFmtId="0" fontId="0" fillId="2" borderId="0" xfId="0" applyFill="1">
      <alignment vertical="center"/>
    </xf>
    <xf numFmtId="0" fontId="0" fillId="2" borderId="1" xfId="0" applyFill="1" applyBorder="1">
      <alignment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176" fontId="0" fillId="2" borderId="2" xfId="0" applyNumberFormat="1" applyFill="1" applyBorder="1" applyAlignment="1">
      <alignment horizontal="left" vertical="center"/>
    </xf>
    <xf numFmtId="176" fontId="0" fillId="2" borderId="3" xfId="0" applyNumberFormat="1" applyFill="1" applyBorder="1" applyAlignment="1">
      <alignment horizontal="left" vertical="center"/>
    </xf>
    <xf numFmtId="176" fontId="0" fillId="2" borderId="4" xfId="0" applyNumberFormat="1" applyFill="1" applyBorder="1" applyAlignment="1">
      <alignment horizontal="left" vertical="center"/>
    </xf>
    <xf numFmtId="0" fontId="0" fillId="2" borderId="1" xfId="0" applyFill="1" applyBorder="1" applyAlignment="1">
      <alignment vertical="center" wrapText="1"/>
    </xf>
    <xf numFmtId="0" fontId="0" fillId="2" borderId="1" xfId="0" applyFont="1" applyFill="1" applyBorder="1" applyAlignment="1">
      <alignment vertical="center" wrapText="1"/>
    </xf>
    <xf numFmtId="176" fontId="0" fillId="2" borderId="1" xfId="0" applyNumberFormat="1" applyFill="1" applyBorder="1" applyAlignment="1">
      <alignment horizontal="left" vertical="center"/>
    </xf>
    <xf numFmtId="0" fontId="0" fillId="2" borderId="1" xfId="0" applyFill="1" applyBorder="1" applyAlignment="1">
      <alignment horizontal="left" vertical="center" wrapText="1"/>
    </xf>
    <xf numFmtId="0" fontId="1" fillId="2" borderId="1" xfId="0" applyFont="1" applyFill="1" applyBorder="1" applyAlignment="1">
      <alignment vertical="center" wrapText="1"/>
    </xf>
    <xf numFmtId="0" fontId="2" fillId="2" borderId="1" xfId="0" applyFont="1" applyFill="1" applyBorder="1">
      <alignment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0" xfId="0" applyFont="1" applyFill="1">
      <alignment vertical="center"/>
    </xf>
    <xf numFmtId="0" fontId="2" fillId="2" borderId="0" xfId="0" applyFont="1" applyFill="1" applyAlignment="1">
      <alignment horizontal="left" vertical="center" wrapText="1"/>
    </xf>
    <xf numFmtId="0" fontId="2" fillId="3" borderId="0" xfId="0" applyFont="1" applyFill="1" applyAlignment="1">
      <alignment horizontal="left" vertical="center"/>
    </xf>
    <xf numFmtId="0" fontId="2" fillId="3" borderId="0" xfId="0" applyFont="1" applyFill="1">
      <alignment vertical="center"/>
    </xf>
    <xf numFmtId="0" fontId="2" fillId="3" borderId="1" xfId="0" applyFont="1" applyFill="1" applyBorder="1">
      <alignment vertical="center"/>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176" fontId="2" fillId="3" borderId="2" xfId="0" applyNumberFormat="1" applyFont="1" applyFill="1" applyBorder="1" applyAlignment="1">
      <alignment horizontal="left" vertical="center"/>
    </xf>
    <xf numFmtId="176" fontId="2" fillId="3" borderId="3" xfId="0" applyNumberFormat="1" applyFont="1" applyFill="1" applyBorder="1" applyAlignment="1">
      <alignment horizontal="left" vertical="center"/>
    </xf>
    <xf numFmtId="176" fontId="2" fillId="3" borderId="4" xfId="0" applyNumberFormat="1" applyFont="1" applyFill="1" applyBorder="1" applyAlignment="1">
      <alignment horizontal="left" vertical="center"/>
    </xf>
    <xf numFmtId="0" fontId="2" fillId="3" borderId="1" xfId="0" applyFont="1" applyFill="1" applyBorder="1" applyAlignment="1">
      <alignment vertical="center" wrapText="1"/>
    </xf>
    <xf numFmtId="176"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0" xfId="0" applyFont="1" applyFill="1" applyAlignment="1">
      <alignment horizontal="left" vertical="center" wrapText="1"/>
    </xf>
    <xf numFmtId="0" fontId="0" fillId="0" borderId="0" xfId="0" applyFill="1" applyAlignment="1">
      <alignment vertical="center"/>
    </xf>
    <xf numFmtId="0" fontId="3" fillId="4" borderId="1" xfId="0" applyFont="1" applyFill="1" applyBorder="1" applyAlignment="1">
      <alignment horizontal="left" vertical="center"/>
    </xf>
    <xf numFmtId="0" fontId="3" fillId="4" borderId="5" xfId="0" applyFont="1" applyFill="1" applyBorder="1" applyAlignment="1">
      <alignment vertical="center"/>
    </xf>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horizontal="left" vertical="center"/>
    </xf>
    <xf numFmtId="0" fontId="5" fillId="4" borderId="1" xfId="0" applyFont="1" applyFill="1" applyBorder="1" applyAlignment="1">
      <alignment vertical="center" wrapText="1"/>
    </xf>
    <xf numFmtId="0" fontId="5" fillId="4" borderId="1" xfId="0" applyFont="1" applyFill="1" applyBorder="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7" fillId="5" borderId="6" xfId="0" applyFont="1" applyFill="1" applyBorder="1" applyAlignment="1">
      <alignment vertical="center"/>
    </xf>
    <xf numFmtId="177" fontId="8" fillId="0" borderId="7" xfId="1" applyNumberFormat="1" applyFont="1" applyFill="1" applyBorder="1" applyAlignment="1" applyProtection="1">
      <alignment horizontal="center" vertical="center" wrapText="1"/>
    </xf>
    <xf numFmtId="177" fontId="8" fillId="0" borderId="8" xfId="1" applyNumberFormat="1" applyFont="1" applyFill="1" applyBorder="1" applyAlignment="1" applyProtection="1">
      <alignment horizontal="center" vertical="center" wrapText="1"/>
    </xf>
    <xf numFmtId="0" fontId="7" fillId="0" borderId="9" xfId="0" applyFont="1" applyFill="1" applyBorder="1" applyAlignment="1">
      <alignment vertical="center"/>
    </xf>
    <xf numFmtId="178" fontId="7" fillId="0" borderId="2" xfId="1" applyNumberFormat="1" applyFont="1" applyFill="1" applyBorder="1" applyAlignment="1" applyProtection="1">
      <alignment horizontal="left" vertical="center" wrapText="1"/>
    </xf>
    <xf numFmtId="178" fontId="7" fillId="0" borderId="10" xfId="1" applyNumberFormat="1" applyFont="1" applyFill="1" applyBorder="1" applyAlignment="1" applyProtection="1">
      <alignment horizontal="left" vertical="center" wrapText="1"/>
    </xf>
    <xf numFmtId="0" fontId="6" fillId="0" borderId="1" xfId="0" applyFont="1" applyFill="1" applyBorder="1" applyAlignment="1">
      <alignment horizontal="center" vertical="center"/>
    </xf>
    <xf numFmtId="0" fontId="6" fillId="0" borderId="11" xfId="0" applyFont="1" applyFill="1" applyBorder="1" applyAlignment="1">
      <alignment vertical="center"/>
    </xf>
    <xf numFmtId="0" fontId="7" fillId="0" borderId="0" xfId="0" applyFont="1" applyFill="1" applyAlignment="1">
      <alignment vertical="center"/>
    </xf>
    <xf numFmtId="0" fontId="9" fillId="0" borderId="9" xfId="0" applyFont="1" applyFill="1" applyBorder="1" applyAlignment="1">
      <alignment horizontal="left" vertical="center"/>
    </xf>
    <xf numFmtId="0" fontId="10" fillId="0" borderId="1"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1" fillId="5" borderId="9" xfId="0" applyFont="1" applyFill="1" applyBorder="1" applyAlignment="1">
      <alignment vertical="center"/>
    </xf>
    <xf numFmtId="177" fontId="11" fillId="5" borderId="1" xfId="1" applyNumberFormat="1" applyFont="1" applyFill="1" applyBorder="1" applyAlignment="1" applyProtection="1">
      <alignment horizontal="center" vertical="center"/>
    </xf>
    <xf numFmtId="0" fontId="12" fillId="5" borderId="11" xfId="0" applyFont="1" applyFill="1" applyBorder="1" applyAlignment="1">
      <alignment vertical="center" wrapText="1"/>
    </xf>
    <xf numFmtId="0" fontId="10" fillId="0" borderId="9" xfId="0" applyFont="1" applyFill="1" applyBorder="1" applyAlignment="1">
      <alignment horizontal="left" vertical="center" wrapText="1"/>
    </xf>
    <xf numFmtId="177" fontId="12" fillId="0" borderId="1" xfId="1" applyNumberFormat="1" applyFont="1" applyFill="1" applyBorder="1" applyAlignment="1" applyProtection="1">
      <alignment horizontal="right" vertical="center" wrapText="1"/>
    </xf>
    <xf numFmtId="0" fontId="12" fillId="0" borderId="11" xfId="0" applyFont="1" applyFill="1" applyBorder="1" applyAlignment="1">
      <alignment vertical="center" wrapText="1"/>
    </xf>
    <xf numFmtId="177" fontId="12" fillId="6" borderId="1" xfId="1" applyNumberFormat="1" applyFont="1" applyFill="1" applyBorder="1" applyAlignment="1" applyProtection="1">
      <alignment horizontal="right" vertical="center"/>
    </xf>
    <xf numFmtId="0" fontId="12" fillId="6" borderId="11" xfId="0" applyFont="1" applyFill="1" applyBorder="1" applyAlignment="1">
      <alignment vertical="center" wrapText="1"/>
    </xf>
    <xf numFmtId="177" fontId="12" fillId="0" borderId="1" xfId="1" applyNumberFormat="1" applyFont="1" applyFill="1" applyBorder="1" applyAlignment="1" applyProtection="1">
      <alignment horizontal="right" vertical="center"/>
    </xf>
    <xf numFmtId="177" fontId="12" fillId="6" borderId="1" xfId="1" applyNumberFormat="1" applyFont="1" applyFill="1" applyBorder="1" applyAlignment="1" applyProtection="1">
      <alignment horizontal="right" vertical="center" wrapText="1"/>
    </xf>
    <xf numFmtId="0" fontId="12" fillId="0" borderId="1" xfId="0" applyFont="1" applyFill="1" applyBorder="1" applyAlignment="1">
      <alignment vertical="center"/>
    </xf>
    <xf numFmtId="0" fontId="12" fillId="0" borderId="11" xfId="0" applyFont="1" applyFill="1" applyBorder="1" applyAlignment="1">
      <alignment vertical="center"/>
    </xf>
    <xf numFmtId="0" fontId="12" fillId="0" borderId="9" xfId="0" applyFont="1" applyFill="1" applyBorder="1" applyAlignment="1">
      <alignment vertical="center"/>
    </xf>
    <xf numFmtId="0" fontId="13" fillId="6" borderId="11" xfId="0" applyFont="1" applyFill="1" applyBorder="1" applyAlignment="1">
      <alignment vertical="center" wrapText="1"/>
    </xf>
    <xf numFmtId="49" fontId="12" fillId="6" borderId="1" xfId="1" applyNumberFormat="1" applyFont="1" applyFill="1" applyBorder="1" applyAlignment="1" applyProtection="1">
      <alignment horizontal="right" vertical="center"/>
    </xf>
    <xf numFmtId="0" fontId="14" fillId="5" borderId="9" xfId="0" applyFont="1" applyFill="1" applyBorder="1" applyAlignment="1">
      <alignment vertical="center"/>
    </xf>
    <xf numFmtId="177" fontId="15" fillId="5" borderId="1" xfId="1" applyNumberFormat="1" applyFont="1" applyFill="1" applyBorder="1" applyAlignment="1" applyProtection="1">
      <alignment horizontal="center" vertical="center"/>
    </xf>
    <xf numFmtId="0" fontId="13" fillId="5" borderId="11" xfId="0" applyFont="1" applyFill="1" applyBorder="1" applyAlignment="1">
      <alignment vertical="center" wrapText="1"/>
    </xf>
    <xf numFmtId="0" fontId="12" fillId="0" borderId="12" xfId="0" applyFont="1" applyFill="1" applyBorder="1" applyAlignment="1">
      <alignment vertical="center"/>
    </xf>
    <xf numFmtId="177" fontId="12" fillId="0" borderId="13" xfId="1" applyNumberFormat="1" applyFont="1" applyFill="1" applyBorder="1" applyAlignment="1" applyProtection="1">
      <alignment horizontal="center" vertical="center"/>
    </xf>
    <xf numFmtId="0" fontId="12" fillId="0" borderId="14" xfId="0" applyFont="1" applyFill="1" applyBorder="1" applyAlignment="1">
      <alignment vertical="center" wrapText="1"/>
    </xf>
    <xf numFmtId="0" fontId="7" fillId="7" borderId="15" xfId="0" applyFont="1" applyFill="1" applyBorder="1" applyAlignment="1">
      <alignment vertical="center"/>
    </xf>
    <xf numFmtId="0" fontId="6" fillId="7" borderId="16" xfId="0" applyFont="1" applyFill="1" applyBorder="1" applyAlignment="1">
      <alignment horizontal="center" vertical="center"/>
    </xf>
    <xf numFmtId="0" fontId="6" fillId="7" borderId="17" xfId="0" applyFont="1" applyFill="1" applyBorder="1" applyAlignment="1">
      <alignment vertical="center"/>
    </xf>
    <xf numFmtId="7" fontId="6" fillId="7" borderId="0" xfId="0" applyNumberFormat="1" applyFont="1" applyFill="1" applyAlignment="1">
      <alignment vertical="center"/>
    </xf>
    <xf numFmtId="0" fontId="16" fillId="0" borderId="0" xfId="0" applyFont="1" applyFill="1" applyAlignment="1">
      <alignment vertical="center"/>
    </xf>
    <xf numFmtId="0" fontId="7" fillId="7" borderId="18" xfId="0" applyFont="1" applyFill="1" applyBorder="1" applyAlignment="1">
      <alignment vertical="center"/>
    </xf>
    <xf numFmtId="0" fontId="6" fillId="7" borderId="19" xfId="0" applyFont="1" applyFill="1" applyBorder="1" applyAlignment="1">
      <alignment horizontal="center" vertical="center"/>
    </xf>
    <xf numFmtId="0" fontId="6" fillId="7" borderId="20" xfId="0" applyFont="1" applyFill="1" applyBorder="1" applyAlignment="1">
      <alignment vertical="center"/>
    </xf>
    <xf numFmtId="0" fontId="17" fillId="7" borderId="21" xfId="0" applyFont="1" applyFill="1" applyBorder="1" applyAlignment="1"/>
    <xf numFmtId="0" fontId="18" fillId="7" borderId="0" xfId="0" applyFont="1" applyFill="1" applyAlignment="1"/>
    <xf numFmtId="179" fontId="18" fillId="7" borderId="22" xfId="0" applyNumberFormat="1" applyFont="1" applyFill="1" applyBorder="1" applyAlignment="1"/>
    <xf numFmtId="0" fontId="19" fillId="7" borderId="0" xfId="0" applyFont="1" applyFill="1" applyAlignment="1"/>
    <xf numFmtId="0" fontId="20" fillId="7" borderId="21" xfId="0" applyFont="1" applyFill="1" applyBorder="1" applyAlignment="1"/>
    <xf numFmtId="0" fontId="21" fillId="7" borderId="0" xfId="0" applyFont="1" applyFill="1" applyAlignment="1"/>
    <xf numFmtId="0" fontId="18" fillId="7" borderId="22" xfId="0" applyFont="1" applyFill="1" applyBorder="1" applyAlignment="1"/>
    <xf numFmtId="0" fontId="22" fillId="7" borderId="0" xfId="0" applyFont="1" applyFill="1" applyAlignment="1"/>
    <xf numFmtId="0" fontId="23" fillId="7" borderId="18" xfId="0" applyFont="1" applyFill="1" applyBorder="1" applyAlignment="1"/>
    <xf numFmtId="0" fontId="24" fillId="7" borderId="19" xfId="0" applyFont="1" applyFill="1" applyBorder="1" applyAlignment="1"/>
    <xf numFmtId="0" fontId="25" fillId="7" borderId="20" xfId="0" applyFont="1" applyFill="1" applyBorder="1" applyAlignment="1"/>
    <xf numFmtId="0" fontId="26" fillId="7" borderId="0" xfId="0" applyFont="1" applyFill="1" applyAlignment="1"/>
    <xf numFmtId="0" fontId="23" fillId="7" borderId="0" xfId="0" applyFont="1" applyFill="1" applyAlignment="1"/>
    <xf numFmtId="0" fontId="24" fillId="7" borderId="0" xfId="0" applyFont="1" applyFill="1" applyAlignment="1"/>
    <xf numFmtId="0" fontId="25" fillId="7" borderId="0" xfId="0" applyFont="1" applyFill="1" applyAlignment="1"/>
    <xf numFmtId="0" fontId="20" fillId="0" borderId="15" xfId="0" applyFont="1" applyFill="1" applyBorder="1" applyAlignment="1"/>
    <xf numFmtId="0" fontId="21" fillId="0" borderId="16" xfId="0" applyFont="1" applyFill="1" applyBorder="1" applyAlignment="1"/>
    <xf numFmtId="0" fontId="27" fillId="0" borderId="0" xfId="0" applyFont="1" applyFill="1" applyAlignment="1">
      <alignment vertical="center"/>
    </xf>
    <xf numFmtId="0" fontId="0" fillId="0" borderId="1" xfId="0" applyBorder="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0" xfId="0" applyAlignment="1">
      <alignment vertical="center"/>
    </xf>
    <xf numFmtId="0" fontId="28" fillId="0" borderId="1" xfId="0" applyFont="1" applyBorder="1" applyAlignment="1">
      <alignment vertical="center"/>
    </xf>
    <xf numFmtId="0" fontId="28"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Border="1" applyAlignment="1">
      <alignment horizontal="left" vertical="center" wrapText="1"/>
    </xf>
    <xf numFmtId="0" fontId="0" fillId="0" borderId="1" xfId="0" applyFont="1" applyBorder="1" applyAlignment="1">
      <alignment vertical="center" wrapText="1"/>
    </xf>
    <xf numFmtId="176" fontId="0" fillId="0" borderId="1" xfId="0" applyNumberFormat="1" applyBorder="1" applyAlignment="1">
      <alignment horizontal="left" vertical="center"/>
    </xf>
    <xf numFmtId="176" fontId="0" fillId="0" borderId="0" xfId="0" applyNumberFormat="1">
      <alignment vertical="center"/>
    </xf>
    <xf numFmtId="0" fontId="29" fillId="6" borderId="1" xfId="0" applyFont="1" applyFill="1" applyBorder="1">
      <alignment vertical="center"/>
    </xf>
    <xf numFmtId="176" fontId="29" fillId="6" borderId="1" xfId="0" applyNumberFormat="1" applyFont="1" applyFill="1" applyBorder="1" applyAlignment="1">
      <alignment horizontal="left" vertical="center"/>
    </xf>
    <xf numFmtId="0" fontId="0" fillId="0" borderId="1" xfId="0" applyBorder="1" applyAlignment="1">
      <alignment vertical="center" wrapText="1"/>
    </xf>
    <xf numFmtId="176" fontId="0" fillId="0" borderId="1" xfId="0" applyNumberFormat="1" applyBorder="1" applyAlignment="1">
      <alignment vertical="center" wrapText="1"/>
    </xf>
    <xf numFmtId="0" fontId="0" fillId="0" borderId="0" xfId="0" applyBorder="1" applyAlignment="1">
      <alignment horizontal="left" vertical="center"/>
    </xf>
    <xf numFmtId="0" fontId="30" fillId="8" borderId="2" xfId="0" applyFont="1" applyFill="1" applyBorder="1" applyAlignment="1">
      <alignment horizontal="left" vertical="center"/>
    </xf>
    <xf numFmtId="0" fontId="30" fillId="8" borderId="3" xfId="0" applyFont="1" applyFill="1" applyBorder="1" applyAlignment="1">
      <alignment horizontal="left" vertical="center"/>
    </xf>
    <xf numFmtId="0" fontId="30" fillId="8" borderId="1" xfId="0" applyFont="1" applyFill="1" applyBorder="1">
      <alignment vertical="center"/>
    </xf>
    <xf numFmtId="0" fontId="30" fillId="8" borderId="1" xfId="0" applyFont="1" applyFill="1" applyBorder="1" applyAlignment="1">
      <alignment vertical="center" wrapText="1"/>
    </xf>
    <xf numFmtId="0" fontId="30" fillId="8" borderId="23" xfId="0" applyFont="1" applyFill="1" applyBorder="1" applyAlignment="1">
      <alignment vertical="center" wrapText="1"/>
    </xf>
    <xf numFmtId="0" fontId="30" fillId="8" borderId="24" xfId="0" applyFont="1" applyFill="1" applyBorder="1" applyAlignment="1">
      <alignment vertical="center" wrapText="1"/>
    </xf>
    <xf numFmtId="0" fontId="5" fillId="8" borderId="24" xfId="0" applyFont="1" applyFill="1" applyBorder="1" applyAlignment="1">
      <alignment vertical="center" wrapText="1"/>
    </xf>
    <xf numFmtId="176" fontId="30" fillId="8" borderId="24" xfId="0" applyNumberFormat="1" applyFont="1" applyFill="1" applyBorder="1" applyAlignment="1">
      <alignment horizontal="left" vertical="top" wrapText="1"/>
    </xf>
    <xf numFmtId="0" fontId="30" fillId="8" borderId="24" xfId="0" applyFont="1" applyFill="1" applyBorder="1" applyAlignment="1">
      <alignment horizontal="left" vertical="center"/>
    </xf>
    <xf numFmtId="0" fontId="30" fillId="8" borderId="24" xfId="0" applyFont="1" applyFill="1" applyBorder="1" applyAlignment="1">
      <alignment horizontal="left" vertical="center" wrapText="1"/>
    </xf>
    <xf numFmtId="176" fontId="30" fillId="8" borderId="24" xfId="0" applyNumberFormat="1" applyFont="1" applyFill="1" applyBorder="1" applyAlignment="1">
      <alignment horizontal="left" vertical="center" wrapText="1"/>
    </xf>
    <xf numFmtId="0" fontId="0" fillId="0" borderId="1" xfId="0" applyFill="1" applyBorder="1" applyAlignment="1">
      <alignment vertical="center"/>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vertical="top" wrapText="1"/>
    </xf>
    <xf numFmtId="176" fontId="0" fillId="0" borderId="1" xfId="0" applyNumberFormat="1" applyFill="1" applyBorder="1" applyAlignment="1">
      <alignment horizontal="left" vertical="top" wrapText="1"/>
    </xf>
    <xf numFmtId="0" fontId="0" fillId="0" borderId="1" xfId="0" applyFill="1" applyBorder="1" applyAlignment="1">
      <alignment vertical="center" wrapText="1"/>
    </xf>
    <xf numFmtId="176" fontId="0" fillId="0" borderId="1" xfId="0" applyNumberFormat="1" applyBorder="1">
      <alignment vertical="center"/>
    </xf>
    <xf numFmtId="176" fontId="29" fillId="6" borderId="1" xfId="0" applyNumberFormat="1" applyFont="1" applyFill="1" applyBorder="1">
      <alignment vertical="center"/>
    </xf>
    <xf numFmtId="0" fontId="0" fillId="0" borderId="13" xfId="0" applyBorder="1">
      <alignment vertical="center"/>
    </xf>
    <xf numFmtId="180" fontId="0" fillId="0" borderId="13" xfId="0" applyNumberFormat="1" applyBorder="1">
      <alignment vertical="center"/>
    </xf>
    <xf numFmtId="0" fontId="28" fillId="0" borderId="1" xfId="0" applyFont="1" applyBorder="1">
      <alignment vertical="center"/>
    </xf>
    <xf numFmtId="0" fontId="29" fillId="9" borderId="1" xfId="0" applyFont="1" applyFill="1" applyBorder="1">
      <alignment vertical="center"/>
    </xf>
    <xf numFmtId="176" fontId="29" fillId="9" borderId="1" xfId="0" applyNumberFormat="1" applyFont="1" applyFill="1" applyBorder="1" applyAlignment="1">
      <alignment horizontal="left" vertical="center"/>
    </xf>
    <xf numFmtId="0" fontId="29" fillId="0" borderId="1" xfId="0" applyFont="1" applyBorder="1" applyAlignment="1">
      <alignment horizontal="left" vertical="center"/>
    </xf>
    <xf numFmtId="0" fontId="31" fillId="0" borderId="1" xfId="0" applyFont="1" applyFill="1" applyBorder="1" applyAlignment="1">
      <alignment horizontal="right" vertical="center"/>
    </xf>
    <xf numFmtId="0" fontId="32" fillId="0" borderId="1" xfId="0" applyFont="1" applyFill="1" applyBorder="1" applyAlignment="1">
      <alignment vertical="center"/>
    </xf>
    <xf numFmtId="0" fontId="31" fillId="6" borderId="1" xfId="0" applyFont="1" applyFill="1" applyBorder="1" applyAlignment="1">
      <alignment horizontal="center" vertical="center"/>
    </xf>
    <xf numFmtId="0" fontId="31" fillId="6" borderId="1" xfId="0" applyFont="1" applyFill="1" applyBorder="1" applyAlignment="1">
      <alignment vertical="center" wrapText="1"/>
    </xf>
    <xf numFmtId="181" fontId="33" fillId="6" borderId="1" xfId="0" applyNumberFormat="1" applyFont="1" applyFill="1" applyBorder="1" applyAlignment="1">
      <alignment horizontal="center" vertical="center"/>
    </xf>
    <xf numFmtId="181" fontId="32" fillId="6" borderId="1" xfId="0" applyNumberFormat="1" applyFont="1" applyFill="1" applyBorder="1" applyAlignment="1">
      <alignment horizontal="center" vertical="top" wrapText="1"/>
    </xf>
    <xf numFmtId="0" fontId="32" fillId="6" borderId="1" xfId="0" applyFont="1" applyFill="1" applyBorder="1" applyAlignment="1">
      <alignment horizontal="center" vertical="top" wrapText="1"/>
    </xf>
    <xf numFmtId="0" fontId="29" fillId="6" borderId="1" xfId="0" applyFont="1" applyFill="1" applyBorder="1" applyAlignment="1">
      <alignment vertical="center"/>
    </xf>
    <xf numFmtId="0" fontId="34" fillId="0" borderId="0" xfId="0" applyFont="1" applyAlignment="1">
      <alignment vertical="center"/>
    </xf>
    <xf numFmtId="0" fontId="32" fillId="0" borderId="1" xfId="0" applyFont="1" applyFill="1" applyBorder="1" applyAlignment="1">
      <alignment horizontal="center" vertical="center" wrapText="1"/>
    </xf>
    <xf numFmtId="0" fontId="32" fillId="0" borderId="1" xfId="0" applyFont="1" applyFill="1" applyBorder="1" applyAlignment="1">
      <alignment horizontal="center" vertical="center"/>
    </xf>
    <xf numFmtId="0" fontId="32" fillId="10" borderId="1" xfId="0" applyFont="1" applyFill="1" applyBorder="1" applyAlignment="1">
      <alignment horizontal="center" vertical="top" wrapText="1"/>
    </xf>
    <xf numFmtId="0" fontId="31" fillId="10" borderId="1" xfId="0" applyFont="1" applyFill="1" applyBorder="1" applyAlignment="1">
      <alignment vertical="center" wrapText="1"/>
    </xf>
    <xf numFmtId="0" fontId="31" fillId="10" borderId="1" xfId="0" applyFont="1" applyFill="1" applyBorder="1" applyAlignment="1">
      <alignment horizontal="center"/>
    </xf>
    <xf numFmtId="181" fontId="33" fillId="10" borderId="1" xfId="0" applyNumberFormat="1" applyFont="1" applyFill="1" applyBorder="1" applyAlignment="1">
      <alignment horizontal="center" vertical="center"/>
    </xf>
    <xf numFmtId="0" fontId="32" fillId="10" borderId="1" xfId="0" applyFont="1" applyFill="1" applyBorder="1" applyAlignment="1">
      <alignment vertical="center" wrapText="1"/>
    </xf>
    <xf numFmtId="181" fontId="32" fillId="10" borderId="1" xfId="0" applyNumberFormat="1" applyFont="1" applyFill="1" applyBorder="1" applyAlignment="1">
      <alignment horizontal="center" vertical="top" wrapText="1"/>
    </xf>
    <xf numFmtId="0" fontId="31" fillId="0" borderId="1" xfId="0" applyFont="1" applyFill="1" applyBorder="1" applyAlignment="1">
      <alignment horizontal="center" vertical="center"/>
    </xf>
    <xf numFmtId="0" fontId="31" fillId="0" borderId="1" xfId="0" applyFont="1" applyFill="1" applyBorder="1" applyAlignment="1">
      <alignment vertical="center" wrapText="1"/>
    </xf>
    <xf numFmtId="181" fontId="33" fillId="0" borderId="1" xfId="0" applyNumberFormat="1" applyFont="1" applyFill="1" applyBorder="1" applyAlignment="1">
      <alignment horizontal="center" vertical="center"/>
    </xf>
    <xf numFmtId="181" fontId="32" fillId="0" borderId="1" xfId="0" applyNumberFormat="1" applyFont="1" applyFill="1" applyBorder="1" applyAlignment="1">
      <alignment horizontal="center" vertical="top" wrapText="1"/>
    </xf>
    <xf numFmtId="0" fontId="32" fillId="0" borderId="1" xfId="0" applyFont="1" applyFill="1" applyBorder="1" applyAlignment="1">
      <alignment horizontal="center" vertical="top" wrapText="1"/>
    </xf>
    <xf numFmtId="0" fontId="35" fillId="0" borderId="1" xfId="0" applyFont="1" applyFill="1" applyBorder="1" applyAlignment="1">
      <alignment vertical="center" wrapText="1"/>
    </xf>
    <xf numFmtId="0" fontId="36" fillId="0" borderId="1" xfId="0" applyFont="1" applyFill="1" applyBorder="1" applyAlignment="1">
      <alignment horizontal="center" vertical="center"/>
    </xf>
    <xf numFmtId="182" fontId="35" fillId="0" borderId="1" xfId="0" applyNumberFormat="1" applyFont="1" applyFill="1" applyBorder="1" applyAlignment="1">
      <alignment horizontal="center" vertical="center"/>
    </xf>
    <xf numFmtId="0" fontId="34" fillId="0" borderId="1" xfId="0" applyFont="1" applyBorder="1" applyAlignment="1">
      <alignment vertical="center"/>
    </xf>
    <xf numFmtId="49" fontId="0" fillId="0" borderId="0" xfId="0" applyNumberFormat="1" applyAlignment="1">
      <alignment vertical="center"/>
    </xf>
    <xf numFmtId="0" fontId="0" fillId="0" borderId="0" xfId="0" applyAlignment="1">
      <alignment vertical="center" wrapText="1"/>
    </xf>
    <xf numFmtId="0" fontId="31" fillId="0" borderId="13" xfId="0" applyFont="1" applyFill="1" applyBorder="1" applyAlignment="1">
      <alignment horizontal="center" vertical="center"/>
    </xf>
    <xf numFmtId="0" fontId="32" fillId="10" borderId="1" xfId="0" applyFont="1" applyFill="1" applyBorder="1" applyAlignment="1">
      <alignment horizontal="center" vertical="center" wrapText="1"/>
    </xf>
    <xf numFmtId="0" fontId="37" fillId="10" borderId="1" xfId="0" applyFont="1" applyFill="1" applyBorder="1" applyAlignment="1">
      <alignment vertical="center" wrapText="1"/>
    </xf>
    <xf numFmtId="0" fontId="37" fillId="10" borderId="1" xfId="0" applyFont="1" applyFill="1" applyBorder="1" applyAlignment="1">
      <alignment horizontal="center" vertical="center" wrapText="1"/>
    </xf>
    <xf numFmtId="181" fontId="33" fillId="10" borderId="24" xfId="0" applyNumberFormat="1" applyFont="1" applyFill="1" applyBorder="1" applyAlignment="1">
      <alignment horizontal="center" vertical="center"/>
    </xf>
    <xf numFmtId="0" fontId="32" fillId="10" borderId="2" xfId="0" applyFont="1" applyFill="1" applyBorder="1" applyAlignment="1">
      <alignment horizontal="center" vertical="center" wrapText="1"/>
    </xf>
    <xf numFmtId="181" fontId="31" fillId="0" borderId="1" xfId="0" applyNumberFormat="1" applyFont="1" applyBorder="1" applyAlignment="1">
      <alignment horizontal="center" vertical="center"/>
    </xf>
    <xf numFmtId="0" fontId="31" fillId="0" borderId="5" xfId="0" applyFont="1" applyFill="1" applyBorder="1" applyAlignment="1">
      <alignment horizontal="center" vertical="center"/>
    </xf>
    <xf numFmtId="181" fontId="33" fillId="0" borderId="24" xfId="0" applyNumberFormat="1" applyFont="1" applyFill="1" applyBorder="1" applyAlignment="1">
      <alignment horizontal="center" vertical="center"/>
    </xf>
    <xf numFmtId="0" fontId="32" fillId="0" borderId="2" xfId="0" applyFont="1" applyFill="1" applyBorder="1" applyAlignment="1">
      <alignment horizontal="center" vertical="center" wrapText="1"/>
    </xf>
    <xf numFmtId="0" fontId="38" fillId="0" borderId="0" xfId="0" applyFont="1" applyAlignment="1">
      <alignment vertical="center"/>
    </xf>
    <xf numFmtId="0" fontId="0" fillId="0" borderId="0" xfId="0" applyFill="1" applyAlignment="1"/>
    <xf numFmtId="0" fontId="0" fillId="0" borderId="0" xfId="0" applyFill="1" applyAlignment="1">
      <alignment horizontal="left"/>
    </xf>
    <xf numFmtId="0" fontId="34" fillId="0" borderId="0" xfId="0" applyFont="1" applyFill="1" applyAlignment="1"/>
    <xf numFmtId="0" fontId="39" fillId="0" borderId="0" xfId="0" applyFont="1" applyFill="1" applyAlignment="1">
      <alignment wrapText="1"/>
    </xf>
    <xf numFmtId="7" fontId="0" fillId="0" borderId="0" xfId="0" applyNumberFormat="1" applyFill="1" applyAlignment="1"/>
    <xf numFmtId="0" fontId="32" fillId="0" borderId="0" xfId="0" applyFont="1" applyFill="1" applyAlignment="1">
      <alignment wrapText="1"/>
    </xf>
    <xf numFmtId="0" fontId="0" fillId="11" borderId="0" xfId="0" applyFill="1" applyAlignment="1"/>
    <xf numFmtId="7" fontId="0" fillId="11" borderId="0" xfId="0" applyNumberFormat="1" applyFill="1" applyAlignment="1"/>
    <xf numFmtId="180" fontId="0" fillId="0" borderId="0" xfId="0" applyNumberFormat="1" applyFill="1" applyAlignment="1"/>
    <xf numFmtId="0" fontId="32" fillId="11" borderId="0" xfId="0" applyFont="1" applyFill="1" applyAlignment="1">
      <alignment wrapText="1"/>
    </xf>
    <xf numFmtId="0" fontId="0" fillId="6" borderId="0" xfId="0" applyFill="1" applyAlignment="1"/>
    <xf numFmtId="7" fontId="0" fillId="6" borderId="0" xfId="0" applyNumberFormat="1" applyFill="1" applyAlignment="1"/>
    <xf numFmtId="0" fontId="28" fillId="0" borderId="0" xfId="0" applyFont="1" applyFill="1" applyAlignment="1"/>
    <xf numFmtId="176" fontId="28" fillId="0" borderId="0" xfId="0" applyNumberFormat="1" applyFont="1" applyFill="1" applyAlignment="1">
      <alignment horizontal="left"/>
    </xf>
    <xf numFmtId="0" fontId="0" fillId="0" borderId="0" xfId="0" applyAlignment="1">
      <alignment horizontal="left" vertical="center"/>
    </xf>
    <xf numFmtId="0" fontId="40" fillId="0" borderId="0" xfId="0" applyFont="1" applyFill="1" applyAlignment="1">
      <alignment wrapText="1"/>
    </xf>
    <xf numFmtId="0" fontId="33" fillId="0" borderId="1" xfId="0" applyFont="1" applyFill="1" applyBorder="1" applyAlignment="1">
      <alignment vertical="center"/>
    </xf>
    <xf numFmtId="0" fontId="35" fillId="0" borderId="1" xfId="0" applyFont="1" applyFill="1" applyBorder="1" applyAlignment="1">
      <alignment vertical="center"/>
    </xf>
    <xf numFmtId="0" fontId="35" fillId="0" borderId="1" xfId="0" applyFont="1" applyFill="1" applyBorder="1" applyAlignment="1">
      <alignment horizontal="left" vertical="center"/>
    </xf>
    <xf numFmtId="0" fontId="29" fillId="0" borderId="1" xfId="0" applyFont="1" applyBorder="1" applyAlignment="1">
      <alignment vertical="center"/>
    </xf>
    <xf numFmtId="0" fontId="0" fillId="6" borderId="1" xfId="0" applyFill="1" applyBorder="1" applyAlignment="1">
      <alignment vertical="center"/>
    </xf>
    <xf numFmtId="176" fontId="0" fillId="6" borderId="1" xfId="0" applyNumberFormat="1" applyFill="1" applyBorder="1" applyAlignment="1">
      <alignment horizontal="left" vertical="center"/>
    </xf>
    <xf numFmtId="0" fontId="32" fillId="10" borderId="1" xfId="0" applyFont="1" applyFill="1" applyBorder="1" applyAlignment="1">
      <alignment vertical="top" wrapText="1"/>
    </xf>
    <xf numFmtId="0" fontId="31" fillId="10" borderId="1" xfId="0" applyFont="1" applyFill="1" applyBorder="1" applyAlignment="1">
      <alignment wrapText="1"/>
    </xf>
    <xf numFmtId="183" fontId="33" fillId="10" borderId="1" xfId="0" applyNumberFormat="1" applyFont="1" applyFill="1" applyBorder="1" applyAlignment="1">
      <alignment horizontal="center" vertical="center"/>
    </xf>
    <xf numFmtId="0" fontId="31" fillId="0" borderId="1" xfId="0" applyFont="1" applyFill="1" applyBorder="1" applyAlignment="1">
      <alignment vertical="center"/>
    </xf>
    <xf numFmtId="0" fontId="30" fillId="8" borderId="24" xfId="0" applyFont="1" applyFill="1" applyBorder="1">
      <alignment vertical="center"/>
    </xf>
    <xf numFmtId="0" fontId="0" fillId="0" borderId="0" xfId="0" applyAlignment="1">
      <alignment horizontal="right" vertical="center"/>
    </xf>
    <xf numFmtId="176" fontId="29" fillId="0" borderId="1" xfId="0" applyNumberFormat="1" applyFont="1" applyBorder="1" applyAlignment="1">
      <alignment horizontal="left" vertical="center"/>
    </xf>
    <xf numFmtId="0" fontId="30" fillId="8" borderId="25" xfId="0" applyFont="1" applyFill="1" applyBorder="1" applyAlignment="1">
      <alignment horizontal="left" vertical="center"/>
    </xf>
    <xf numFmtId="0" fontId="30" fillId="8" borderId="4" xfId="0" applyFont="1" applyFill="1" applyBorder="1" applyAlignment="1">
      <alignment horizontal="left" vertical="center"/>
    </xf>
    <xf numFmtId="0" fontId="30" fillId="8" borderId="26" xfId="0" applyFont="1" applyFill="1" applyBorder="1">
      <alignment vertical="center"/>
    </xf>
    <xf numFmtId="0" fontId="41" fillId="8" borderId="2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32</xdr:row>
      <xdr:rowOff>27940</xdr:rowOff>
    </xdr:from>
    <xdr:to>
      <xdr:col>2</xdr:col>
      <xdr:colOff>497840</xdr:colOff>
      <xdr:row>39</xdr:row>
      <xdr:rowOff>109855</xdr:rowOff>
    </xdr:to>
    <xdr:pic>
      <xdr:nvPicPr>
        <xdr:cNvPr id="2" name="图片 1"/>
        <xdr:cNvPicPr>
          <a:picLocks noChangeAspect="1"/>
        </xdr:cNvPicPr>
      </xdr:nvPicPr>
      <xdr:blipFill>
        <a:blip r:embed="rId1"/>
        <a:stretch>
          <a:fillRect/>
        </a:stretch>
      </xdr:blipFill>
      <xdr:spPr>
        <a:xfrm>
          <a:off x="635" y="9032240"/>
          <a:ext cx="4238625" cy="13620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C7" sqref="C7"/>
    </sheetView>
  </sheetViews>
  <sheetFormatPr defaultColWidth="8.88888888888889" defaultRowHeight="14.4" outlineLevelRow="6" outlineLevelCol="3"/>
  <cols>
    <col min="1" max="1" width="16.4444444444444" customWidth="1"/>
    <col min="2" max="2" width="53.8888888888889" customWidth="1"/>
    <col min="3" max="3" width="52.5555555555556" customWidth="1"/>
    <col min="4" max="4" width="63.1111111111111" customWidth="1"/>
  </cols>
  <sheetData>
    <row r="1" customHeight="1" spans="1:4">
      <c r="A1" s="215" t="s">
        <v>0</v>
      </c>
      <c r="B1" s="123"/>
      <c r="C1" s="123"/>
      <c r="D1" s="216"/>
    </row>
    <row r="2" spans="1:4">
      <c r="A2" s="217" t="s">
        <v>1</v>
      </c>
      <c r="B2" s="217" t="s">
        <v>2</v>
      </c>
      <c r="C2" s="217" t="s">
        <v>3</v>
      </c>
      <c r="D2" s="217" t="s">
        <v>4</v>
      </c>
    </row>
    <row r="3" ht="214" customHeight="1" spans="1:4">
      <c r="A3" s="127" t="s">
        <v>5</v>
      </c>
      <c r="B3" s="127" t="s">
        <v>6</v>
      </c>
      <c r="C3" s="127" t="s">
        <v>7</v>
      </c>
      <c r="D3" s="127" t="s">
        <v>8</v>
      </c>
    </row>
    <row r="4" spans="1:4">
      <c r="A4" s="127" t="s">
        <v>9</v>
      </c>
      <c r="B4" s="129">
        <f>1740*23</f>
        <v>40020</v>
      </c>
      <c r="C4" s="129">
        <f>1740*22</f>
        <v>38280</v>
      </c>
      <c r="D4" s="129">
        <f>17*1740</f>
        <v>29580</v>
      </c>
    </row>
    <row r="5" ht="39.6" spans="1:4">
      <c r="A5" s="130" t="s">
        <v>10</v>
      </c>
      <c r="B5" s="127" t="s">
        <v>11</v>
      </c>
      <c r="C5" s="127" t="s">
        <v>12</v>
      </c>
      <c r="D5" s="218" t="s">
        <v>13</v>
      </c>
    </row>
    <row r="6" ht="26.4" spans="1:4">
      <c r="A6" s="130" t="s">
        <v>14</v>
      </c>
      <c r="B6" s="127" t="s">
        <v>15</v>
      </c>
      <c r="C6" s="127" t="s">
        <v>16</v>
      </c>
      <c r="D6" s="127" t="s">
        <v>15</v>
      </c>
    </row>
    <row r="7" ht="184.8" spans="1:4">
      <c r="A7" s="212" t="s">
        <v>17</v>
      </c>
      <c r="B7" s="212" t="s">
        <v>18</v>
      </c>
      <c r="C7" s="131" t="s">
        <v>19</v>
      </c>
      <c r="D7" s="131" t="s">
        <v>20</v>
      </c>
    </row>
  </sheetData>
  <mergeCells count="1">
    <mergeCell ref="A1:D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B5" sqref="B5"/>
    </sheetView>
  </sheetViews>
  <sheetFormatPr defaultColWidth="9" defaultRowHeight="14.4" outlineLevelCol="2"/>
  <cols>
    <col min="1" max="1" width="11.1111111111111" customWidth="1"/>
    <col min="2" max="2" width="29.3333333333333" customWidth="1"/>
    <col min="3" max="3" width="31" customWidth="1"/>
    <col min="4" max="4" width="15.3333333333333" customWidth="1"/>
  </cols>
  <sheetData>
    <row r="1" spans="1:3">
      <c r="A1" t="s">
        <v>21</v>
      </c>
      <c r="C1" t="s">
        <v>22</v>
      </c>
    </row>
    <row r="3" spans="1:3">
      <c r="A3" t="s">
        <v>23</v>
      </c>
    </row>
    <row r="4" spans="1:3">
      <c r="A4" s="105" t="s">
        <v>1</v>
      </c>
      <c r="B4" s="105" t="s">
        <v>24</v>
      </c>
      <c r="C4" s="105" t="s">
        <v>25</v>
      </c>
    </row>
    <row r="5" ht="137" customHeight="1" spans="1:3">
      <c r="A5" s="105" t="s">
        <v>26</v>
      </c>
      <c r="B5" s="119" t="s">
        <v>27</v>
      </c>
      <c r="C5" s="119" t="s">
        <v>28</v>
      </c>
    </row>
    <row r="6" spans="1:3">
      <c r="A6" s="105" t="s">
        <v>29</v>
      </c>
      <c r="B6" s="214">
        <f>500*5.46</f>
        <v>2730</v>
      </c>
      <c r="C6" s="214">
        <f>380*5.46</f>
        <v>2074.8</v>
      </c>
    </row>
    <row r="7" spans="1:3">
      <c r="A7" s="105" t="s">
        <v>30</v>
      </c>
      <c r="B7" s="214">
        <f>100000*9%</f>
        <v>9000</v>
      </c>
      <c r="C7" s="214">
        <f>100000*9%</f>
        <v>9000</v>
      </c>
    </row>
    <row r="12" ht="150" customHeight="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D5" sqref="D5"/>
    </sheetView>
  </sheetViews>
  <sheetFormatPr defaultColWidth="8.88888888888889" defaultRowHeight="14.4" outlineLevelRow="6" outlineLevelCol="2"/>
  <cols>
    <col min="2" max="2" width="19.1111111111111" customWidth="1"/>
    <col min="3" max="3" width="15.8888888888889" customWidth="1"/>
  </cols>
  <sheetData>
    <row r="1" spans="1:3">
      <c r="A1" t="s">
        <v>21</v>
      </c>
      <c r="C1" t="s">
        <v>22</v>
      </c>
    </row>
    <row r="3" spans="1:3">
      <c r="A3" t="s">
        <v>31</v>
      </c>
    </row>
    <row r="4" spans="1:3">
      <c r="A4" s="105" t="s">
        <v>1</v>
      </c>
      <c r="B4" s="105" t="s">
        <v>32</v>
      </c>
      <c r="C4" s="105" t="s">
        <v>2</v>
      </c>
    </row>
    <row r="5" ht="86.4" spans="1:3">
      <c r="A5" s="105" t="s">
        <v>26</v>
      </c>
      <c r="B5" s="119" t="s">
        <v>33</v>
      </c>
      <c r="C5" s="119"/>
    </row>
    <row r="6" spans="1:3">
      <c r="A6" s="105" t="s">
        <v>29</v>
      </c>
      <c r="B6" s="214">
        <f>14.5*910</f>
        <v>13195</v>
      </c>
      <c r="C6" s="214"/>
    </row>
    <row r="7" spans="1:3">
      <c r="A7" s="105" t="s">
        <v>34</v>
      </c>
      <c r="B7" s="214">
        <f>100000*20%</f>
        <v>20000</v>
      </c>
      <c r="C7" s="21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7" workbookViewId="0">
      <selection activeCell="D6" sqref="D6"/>
    </sheetView>
  </sheetViews>
  <sheetFormatPr defaultColWidth="9" defaultRowHeight="14.4" outlineLevelCol="3"/>
  <cols>
    <col min="1" max="1" width="19.6296296296296" customWidth="1"/>
    <col min="2" max="2" width="42.8796296296296" customWidth="1"/>
    <col min="3" max="3" width="44.25" customWidth="1"/>
  </cols>
  <sheetData>
    <row r="1" spans="1:4">
      <c r="A1" t="s">
        <v>35</v>
      </c>
    </row>
    <row r="2" spans="1:4">
      <c r="A2" t="s">
        <v>36</v>
      </c>
      <c r="B2" t="s">
        <v>37</v>
      </c>
      <c r="C2" s="213">
        <v>910</v>
      </c>
    </row>
    <row r="3" spans="1:4">
      <c r="A3" t="s">
        <v>38</v>
      </c>
      <c r="B3" t="s">
        <v>39</v>
      </c>
      <c r="C3" s="213">
        <v>5</v>
      </c>
      <c r="D3" t="s">
        <v>40</v>
      </c>
    </row>
    <row r="4" spans="1:4">
      <c r="A4" t="s">
        <v>41</v>
      </c>
      <c r="B4" t="s">
        <v>42</v>
      </c>
      <c r="C4" s="213">
        <v>10</v>
      </c>
      <c r="D4" t="s">
        <v>40</v>
      </c>
    </row>
    <row r="5" spans="1:4">
      <c r="A5" t="s">
        <v>43</v>
      </c>
      <c r="B5" t="s">
        <v>44</v>
      </c>
      <c r="C5">
        <v>5</v>
      </c>
      <c r="D5" t="s">
        <v>40</v>
      </c>
    </row>
    <row r="6" spans="1:4">
      <c r="A6" s="105" t="s">
        <v>45</v>
      </c>
      <c r="B6" s="105"/>
      <c r="C6" s="105" t="s">
        <v>46</v>
      </c>
    </row>
    <row r="7" ht="41" customHeight="1" spans="1:4">
      <c r="A7" s="105" t="s">
        <v>47</v>
      </c>
      <c r="B7" s="105" t="s">
        <v>48</v>
      </c>
      <c r="C7" s="105"/>
    </row>
    <row r="8" ht="82" customHeight="1" spans="1:4">
      <c r="A8" s="105" t="s">
        <v>1</v>
      </c>
      <c r="B8" s="105" t="s">
        <v>49</v>
      </c>
      <c r="C8" s="105" t="s">
        <v>50</v>
      </c>
    </row>
    <row r="9" ht="143" customHeight="1" spans="1:4">
      <c r="A9" s="105" t="s">
        <v>26</v>
      </c>
      <c r="B9" s="119" t="s">
        <v>51</v>
      </c>
      <c r="C9" s="113" t="s">
        <v>52</v>
      </c>
    </row>
    <row r="10" ht="43" customHeight="1" spans="1:4">
      <c r="A10" s="105" t="s">
        <v>53</v>
      </c>
      <c r="B10" s="115">
        <f>930*8+500+300*2+600+300*2*2</f>
        <v>10340</v>
      </c>
      <c r="C10" s="115">
        <f>3*930+800+1200</f>
        <v>4790</v>
      </c>
    </row>
    <row r="11" ht="29" customHeight="1" spans="1:4">
      <c r="A11" s="105" t="s">
        <v>54</v>
      </c>
      <c r="B11" s="119" t="s">
        <v>55</v>
      </c>
      <c r="C11" s="119" t="s">
        <v>55</v>
      </c>
    </row>
    <row r="12" ht="23" customHeight="1" spans="1:4">
      <c r="A12" s="105" t="s">
        <v>56</v>
      </c>
      <c r="B12" s="105" t="s">
        <v>57</v>
      </c>
      <c r="C12" s="105" t="s">
        <v>58</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C3" sqref="C3"/>
    </sheetView>
  </sheetViews>
  <sheetFormatPr defaultColWidth="9" defaultRowHeight="14.4" outlineLevelRow="5" outlineLevelCol="2"/>
  <cols>
    <col min="1" max="1" width="18.7777777777778" customWidth="1"/>
    <col min="2" max="2" width="57.4444444444444" customWidth="1"/>
    <col min="3" max="3" width="72.4444444444444" customWidth="1"/>
  </cols>
  <sheetData>
    <row r="1" spans="1:3">
      <c r="A1" s="130" t="s">
        <v>59</v>
      </c>
      <c r="B1" s="130"/>
      <c r="C1" s="130"/>
    </row>
    <row r="2" spans="1:3">
      <c r="A2" s="212" t="s">
        <v>1</v>
      </c>
      <c r="B2" s="212" t="s">
        <v>60</v>
      </c>
      <c r="C2" s="212" t="s">
        <v>61</v>
      </c>
    </row>
    <row r="3" ht="52.8" spans="1:3">
      <c r="A3" s="127" t="s">
        <v>62</v>
      </c>
      <c r="B3" s="127" t="s">
        <v>63</v>
      </c>
      <c r="C3" s="127" t="s">
        <v>64</v>
      </c>
    </row>
    <row r="4" ht="66" spans="1:3">
      <c r="A4" s="130" t="s">
        <v>10</v>
      </c>
      <c r="B4" s="127" t="s">
        <v>65</v>
      </c>
      <c r="C4" s="127" t="s">
        <v>66</v>
      </c>
    </row>
    <row r="5" ht="26.4" spans="1:3">
      <c r="A5" s="130" t="s">
        <v>14</v>
      </c>
      <c r="B5" s="127" t="s">
        <v>67</v>
      </c>
      <c r="C5" s="127" t="s">
        <v>68</v>
      </c>
    </row>
    <row r="6" ht="52.8" spans="1:3">
      <c r="A6" s="212" t="s">
        <v>17</v>
      </c>
      <c r="B6" s="212" t="s">
        <v>69</v>
      </c>
      <c r="C6" s="127" t="s">
        <v>70</v>
      </c>
    </row>
  </sheetData>
  <mergeCells count="1">
    <mergeCell ref="A1:C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3" sqref="B3"/>
    </sheetView>
  </sheetViews>
  <sheetFormatPr defaultColWidth="8.88888888888889" defaultRowHeight="14.4" outlineLevelRow="4" outlineLevelCol="1"/>
  <cols>
    <col min="1" max="1" width="12.2222222222222" customWidth="1"/>
    <col min="2" max="2" width="54.8888888888889" customWidth="1"/>
  </cols>
  <sheetData>
    <row r="1" spans="1:2">
      <c r="A1" s="130" t="s">
        <v>71</v>
      </c>
      <c r="B1" s="130"/>
    </row>
    <row r="2" spans="1:2">
      <c r="A2" s="212" t="s">
        <v>1</v>
      </c>
      <c r="B2" s="212" t="s">
        <v>72</v>
      </c>
    </row>
    <row r="3" ht="75" customHeight="1" spans="1:2">
      <c r="A3" s="127" t="s">
        <v>73</v>
      </c>
      <c r="B3" s="127" t="s">
        <v>74</v>
      </c>
    </row>
    <row r="4" ht="52.8" spans="1:2">
      <c r="A4" s="130" t="s">
        <v>10</v>
      </c>
      <c r="B4" s="127" t="s">
        <v>75</v>
      </c>
    </row>
    <row r="5" ht="30" customHeight="1" spans="1:2">
      <c r="A5" s="130" t="s">
        <v>14</v>
      </c>
      <c r="B5" s="127" t="s">
        <v>76</v>
      </c>
    </row>
  </sheetData>
  <mergeCells count="1">
    <mergeCell ref="A1:B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workbookViewId="0">
      <selection activeCell="B5" sqref="B5"/>
    </sheetView>
  </sheetViews>
  <sheetFormatPr defaultColWidth="8.88888888888889" defaultRowHeight="14.4"/>
  <cols>
    <col min="1" max="1" width="24" style="108" customWidth="1"/>
    <col min="2" max="2" width="41" style="108" customWidth="1"/>
    <col min="3" max="6" width="8.88888888888889" style="108"/>
    <col min="7" max="7" width="27.4444444444444" style="108" customWidth="1"/>
    <col min="8" max="8" width="30.4444444444444" style="108" customWidth="1"/>
    <col min="9" max="16384" width="8.88888888888889" style="108"/>
  </cols>
  <sheetData>
    <row r="1" ht="28.8" spans="1:10">
      <c r="A1" s="164" t="s">
        <v>77</v>
      </c>
      <c r="B1" s="211" t="s">
        <v>78</v>
      </c>
      <c r="C1" s="164" t="s">
        <v>79</v>
      </c>
      <c r="D1" s="164" t="s">
        <v>80</v>
      </c>
      <c r="E1" s="165" t="s">
        <v>81</v>
      </c>
      <c r="F1" s="164">
        <v>10</v>
      </c>
      <c r="G1" s="166">
        <v>1200</v>
      </c>
      <c r="H1" s="167">
        <f>G1*F1</f>
        <v>12000</v>
      </c>
      <c r="I1" s="164">
        <v>0.5</v>
      </c>
      <c r="J1" s="168">
        <f>F1*I1</f>
        <v>5</v>
      </c>
    </row>
    <row r="4" spans="1:10">
      <c r="A4" s="106" t="s">
        <v>82</v>
      </c>
      <c r="B4" s="106" t="s">
        <v>83</v>
      </c>
    </row>
    <row r="5" spans="1:10">
      <c r="A5" s="106" t="s">
        <v>84</v>
      </c>
      <c r="B5" s="107" t="s">
        <v>85</v>
      </c>
      <c r="D5" s="108" t="s">
        <v>86</v>
      </c>
    </row>
    <row r="6" spans="1:10">
      <c r="A6" s="106" t="s">
        <v>87</v>
      </c>
      <c r="B6" s="106" t="s">
        <v>88</v>
      </c>
    </row>
    <row r="7" ht="234" customHeight="1" spans="1:10">
      <c r="A7" s="106" t="s">
        <v>26</v>
      </c>
      <c r="B7" s="112" t="s">
        <v>89</v>
      </c>
    </row>
    <row r="8" ht="24" customHeight="1" spans="1:10">
      <c r="A8" s="106" t="s">
        <v>53</v>
      </c>
      <c r="B8" s="115">
        <f>((300+180+60*2+450)*7.2)+((100+100+45+180+180+65)*5.6)</f>
        <v>11312</v>
      </c>
    </row>
    <row r="9" ht="23" customHeight="1" spans="1:10">
      <c r="A9" s="106" t="s">
        <v>90</v>
      </c>
      <c r="B9" s="115">
        <f>H1*9%</f>
        <v>1080</v>
      </c>
    </row>
    <row r="10" ht="40" customHeight="1" spans="1:10">
      <c r="A10" s="154" t="s">
        <v>91</v>
      </c>
      <c r="B10" s="118">
        <f>B8+B9</f>
        <v>12392</v>
      </c>
    </row>
    <row r="11" ht="45" customHeight="1" spans="1:10">
      <c r="A11" s="106" t="s">
        <v>54</v>
      </c>
      <c r="B11" s="119" t="s">
        <v>92</v>
      </c>
    </row>
    <row r="12" ht="48" customHeight="1" spans="1:10">
      <c r="A12" s="106" t="s">
        <v>56</v>
      </c>
      <c r="B12" s="119" t="s">
        <v>93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topLeftCell="A6" workbookViewId="0">
      <selection activeCell="C9" sqref="C9"/>
    </sheetView>
  </sheetViews>
  <sheetFormatPr defaultColWidth="8.88888888888889" defaultRowHeight="14.4"/>
  <cols>
    <col min="1" max="1" width="15.1111111111111" style="108" customWidth="1"/>
    <col min="2" max="2" width="36.7777777777778" style="108" customWidth="1"/>
    <col min="3" max="3" width="34" style="108" customWidth="1"/>
    <col min="4" max="4" width="17.8888888888889" style="108" customWidth="1"/>
    <col min="5" max="5" width="25.4444444444444" style="108" customWidth="1"/>
    <col min="6" max="6" width="8.88888888888889" style="108"/>
    <col min="7" max="7" width="18.6666666666667" style="108" customWidth="1"/>
    <col min="8" max="8" width="19.4444444444444" style="108" customWidth="1"/>
    <col min="9" max="9" width="8.88888888888889" style="108"/>
    <col min="10" max="10" width="22.5555555555556" style="108" customWidth="1"/>
    <col min="11" max="16384" width="8.88888888888889" style="108"/>
  </cols>
  <sheetData>
    <row r="1" spans="1:10">
      <c r="A1" s="155" t="s">
        <v>94</v>
      </c>
    </row>
    <row r="2" ht="28.8" spans="1:10">
      <c r="A2" s="156" t="s">
        <v>95</v>
      </c>
      <c r="B2" s="164" t="s">
        <v>96</v>
      </c>
      <c r="C2" s="158" t="s">
        <v>97</v>
      </c>
      <c r="D2" s="158" t="s">
        <v>98</v>
      </c>
      <c r="E2" s="208" t="s">
        <v>99</v>
      </c>
      <c r="F2" s="158">
        <v>2</v>
      </c>
      <c r="G2" s="161">
        <v>132631</v>
      </c>
      <c r="H2" s="163">
        <f>G2*F2</f>
        <v>265262</v>
      </c>
      <c r="I2" s="158">
        <v>10</v>
      </c>
      <c r="J2" s="158">
        <f>F2*I2</f>
        <v>20</v>
      </c>
    </row>
    <row r="3" spans="1:10">
      <c r="A3" s="156"/>
      <c r="B3" s="164"/>
      <c r="C3" s="158" t="s">
        <v>97</v>
      </c>
      <c r="D3" s="158" t="s">
        <v>98</v>
      </c>
      <c r="E3" s="209" t="s">
        <v>100</v>
      </c>
      <c r="F3" s="160">
        <v>4</v>
      </c>
      <c r="G3" s="210">
        <v>2500</v>
      </c>
      <c r="H3" s="163">
        <f>G3*F3</f>
        <v>10000</v>
      </c>
      <c r="I3" s="158">
        <v>15</v>
      </c>
      <c r="J3" s="158">
        <f>F3*I3</f>
        <v>60</v>
      </c>
    </row>
    <row r="4" spans="1:10">
      <c r="A4" s="156"/>
      <c r="B4" s="164"/>
      <c r="C4" s="158" t="s">
        <v>97</v>
      </c>
      <c r="D4" s="158" t="s">
        <v>98</v>
      </c>
      <c r="E4" s="209" t="s">
        <v>101</v>
      </c>
      <c r="F4" s="160">
        <v>8</v>
      </c>
      <c r="G4" s="210">
        <v>37000</v>
      </c>
      <c r="H4" s="163">
        <f>G4*F4</f>
        <v>296000</v>
      </c>
      <c r="I4" s="158">
        <v>1.5</v>
      </c>
      <c r="J4" s="158">
        <f>F4*I4</f>
        <v>12</v>
      </c>
    </row>
    <row r="5" spans="1:10">
      <c r="H5" s="108">
        <f>H2+H3+H4</f>
        <v>571262</v>
      </c>
    </row>
    <row r="6" spans="1:10">
      <c r="A6" s="205" t="s">
        <v>102</v>
      </c>
      <c r="B6" s="205"/>
      <c r="C6" s="106"/>
    </row>
    <row r="7" spans="1:10">
      <c r="A7" s="106" t="s">
        <v>84</v>
      </c>
      <c r="B7" s="107">
        <v>100</v>
      </c>
      <c r="C7" s="106"/>
    </row>
    <row r="8" spans="1:10">
      <c r="A8" s="106" t="s">
        <v>87</v>
      </c>
      <c r="B8" s="106" t="s">
        <v>2</v>
      </c>
      <c r="C8" s="106" t="s">
        <v>103</v>
      </c>
    </row>
    <row r="9" ht="262" customHeight="1" spans="1:10">
      <c r="A9" s="106" t="s">
        <v>26</v>
      </c>
      <c r="B9" s="119" t="s">
        <v>104</v>
      </c>
      <c r="C9" s="119" t="s">
        <v>105</v>
      </c>
    </row>
    <row r="10" ht="18" customHeight="1" spans="1:10">
      <c r="A10" s="106" t="s">
        <v>53</v>
      </c>
      <c r="B10" s="115">
        <f>25*100+500+150+500+((100+0.3*100+180+180+200+65)*5.6)</f>
        <v>7878</v>
      </c>
      <c r="C10" s="115">
        <f>38*100+4500+500+500+500</f>
        <v>9800</v>
      </c>
    </row>
    <row r="11" ht="19" customHeight="1" spans="1:10">
      <c r="A11" s="106" t="s">
        <v>106</v>
      </c>
      <c r="B11" s="115">
        <f>H5*9%</f>
        <v>51413.58</v>
      </c>
      <c r="C11" s="106" t="s">
        <v>18</v>
      </c>
    </row>
    <row r="12" ht="21" customHeight="1" spans="1:10">
      <c r="A12" s="106" t="s">
        <v>107</v>
      </c>
      <c r="B12" s="115">
        <f>B11*4%</f>
        <v>2056.5432</v>
      </c>
      <c r="C12" s="106" t="s">
        <v>18</v>
      </c>
    </row>
    <row r="13" ht="20" customHeight="1" spans="1:10">
      <c r="A13" s="154" t="s">
        <v>91</v>
      </c>
      <c r="B13" s="118">
        <f>B10+B11+B12</f>
        <v>61348.1232</v>
      </c>
      <c r="C13" s="118">
        <f>9800</f>
        <v>9800</v>
      </c>
    </row>
    <row r="14" ht="57" customHeight="1" spans="1:10">
      <c r="A14" s="106" t="s">
        <v>54</v>
      </c>
      <c r="B14" s="119" t="s">
        <v>108</v>
      </c>
      <c r="C14" s="119" t="s">
        <v>109</v>
      </c>
    </row>
    <row r="15" ht="61" customHeight="1" spans="1:10">
      <c r="A15" s="106" t="s">
        <v>56</v>
      </c>
      <c r="B15" s="119" t="s">
        <v>110</v>
      </c>
      <c r="C15" s="119" t="s">
        <v>110</v>
      </c>
    </row>
    <row r="17" spans="1:1">
      <c r="A17" s="108" t="s">
        <v>111</v>
      </c>
    </row>
    <row r="29" ht="90" customHeight="1"/>
    <row r="30" ht="21" customHeight="1"/>
    <row r="31" ht="46" customHeight="1"/>
    <row r="35" ht="39" customHeight="1"/>
  </sheetData>
  <mergeCells count="2">
    <mergeCell ref="A2:A4"/>
    <mergeCell ref="B2:B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opLeftCell="A7" workbookViewId="0">
      <selection activeCell="B18" sqref="B18"/>
    </sheetView>
  </sheetViews>
  <sheetFormatPr defaultColWidth="8.88888888888889" defaultRowHeight="14.4"/>
  <cols>
    <col min="1" max="1" width="13.3333333333333" style="108" customWidth="1"/>
    <col min="2" max="2" width="28.4444444444444" style="108" customWidth="1"/>
    <col min="3" max="4" width="8.88888888888889" style="108"/>
    <col min="5" max="5" width="28.1111111111111" style="108" customWidth="1"/>
    <col min="6" max="6" width="8.88888888888889" style="108"/>
    <col min="7" max="7" width="27.7777777777778" style="108" customWidth="1"/>
    <col min="8" max="8" width="22.5555555555556" style="108" customWidth="1"/>
    <col min="9" max="9" width="8.88888888888889" style="108"/>
    <col min="10" max="10" width="15.5555555555556" style="108" customWidth="1"/>
    <col min="11" max="16384" width="8.88888888888889" style="108"/>
  </cols>
  <sheetData>
    <row r="1" spans="1:10">
      <c r="A1" s="155" t="s">
        <v>112</v>
      </c>
    </row>
    <row r="2" spans="1:10">
      <c r="A2" s="156" t="s">
        <v>95</v>
      </c>
      <c r="B2" s="164" t="s">
        <v>96</v>
      </c>
      <c r="C2" s="164" t="s">
        <v>97</v>
      </c>
      <c r="D2" s="164" t="s">
        <v>80</v>
      </c>
      <c r="E2" s="202" t="s">
        <v>113</v>
      </c>
      <c r="F2" s="164">
        <v>21</v>
      </c>
      <c r="G2" s="166">
        <v>950</v>
      </c>
      <c r="H2" s="167">
        <f t="shared" ref="H2:H10" si="0">G2*F2</f>
        <v>19950</v>
      </c>
      <c r="I2" s="164">
        <v>0.1</v>
      </c>
      <c r="J2" s="168">
        <f t="shared" ref="J2:J10" si="1">F2*I2</f>
        <v>2.1</v>
      </c>
    </row>
    <row r="3" spans="1:10">
      <c r="A3" s="156"/>
      <c r="B3" s="164"/>
      <c r="C3" s="164" t="s">
        <v>97</v>
      </c>
      <c r="D3" s="164" t="s">
        <v>80</v>
      </c>
      <c r="E3" s="202" t="s">
        <v>114</v>
      </c>
      <c r="F3" s="164">
        <v>38</v>
      </c>
      <c r="G3" s="166">
        <v>168</v>
      </c>
      <c r="H3" s="167">
        <f t="shared" si="0"/>
        <v>6384</v>
      </c>
      <c r="I3" s="164">
        <v>0.1</v>
      </c>
      <c r="J3" s="168">
        <f t="shared" si="1"/>
        <v>3.8</v>
      </c>
    </row>
    <row r="4" spans="1:10">
      <c r="A4" s="156"/>
      <c r="B4" s="164"/>
      <c r="C4" s="164" t="s">
        <v>97</v>
      </c>
      <c r="D4" s="164" t="s">
        <v>80</v>
      </c>
      <c r="E4" s="203" t="s">
        <v>115</v>
      </c>
      <c r="F4" s="170">
        <v>40</v>
      </c>
      <c r="G4" s="166">
        <v>80.7</v>
      </c>
      <c r="H4" s="167">
        <f t="shared" si="0"/>
        <v>3228</v>
      </c>
      <c r="I4" s="164">
        <v>0.1</v>
      </c>
      <c r="J4" s="168">
        <f t="shared" si="1"/>
        <v>4</v>
      </c>
    </row>
    <row r="5" spans="1:10">
      <c r="A5" s="156"/>
      <c r="B5" s="164"/>
      <c r="C5" s="164" t="s">
        <v>97</v>
      </c>
      <c r="D5" s="164" t="s">
        <v>80</v>
      </c>
      <c r="E5" s="203" t="s">
        <v>116</v>
      </c>
      <c r="F5" s="170">
        <v>42</v>
      </c>
      <c r="G5" s="166">
        <v>10.15</v>
      </c>
      <c r="H5" s="167">
        <f t="shared" si="0"/>
        <v>426.3</v>
      </c>
      <c r="I5" s="164">
        <v>0.1</v>
      </c>
      <c r="J5" s="168">
        <f t="shared" si="1"/>
        <v>4.2</v>
      </c>
    </row>
    <row r="6" spans="1:10">
      <c r="A6" s="156"/>
      <c r="B6" s="164"/>
      <c r="C6" s="164" t="s">
        <v>97</v>
      </c>
      <c r="D6" s="164" t="s">
        <v>80</v>
      </c>
      <c r="E6" s="203" t="s">
        <v>117</v>
      </c>
      <c r="F6" s="170">
        <v>66</v>
      </c>
      <c r="G6" s="166">
        <v>117</v>
      </c>
      <c r="H6" s="167">
        <f t="shared" si="0"/>
        <v>7722</v>
      </c>
      <c r="I6" s="164">
        <v>0.1</v>
      </c>
      <c r="J6" s="168">
        <f t="shared" si="1"/>
        <v>6.6</v>
      </c>
    </row>
    <row r="7" spans="1:10">
      <c r="A7" s="156"/>
      <c r="B7" s="164"/>
      <c r="C7" s="164" t="s">
        <v>97</v>
      </c>
      <c r="D7" s="164" t="s">
        <v>80</v>
      </c>
      <c r="E7" s="204" t="s">
        <v>118</v>
      </c>
      <c r="F7" s="170">
        <v>2</v>
      </c>
      <c r="G7" s="166">
        <v>20</v>
      </c>
      <c r="H7" s="167">
        <f t="shared" si="0"/>
        <v>40</v>
      </c>
      <c r="I7" s="164">
        <v>0.1</v>
      </c>
      <c r="J7" s="168">
        <f t="shared" si="1"/>
        <v>0.2</v>
      </c>
    </row>
    <row r="8" spans="1:10">
      <c r="A8" s="156"/>
      <c r="B8" s="164"/>
      <c r="C8" s="164" t="s">
        <v>97</v>
      </c>
      <c r="D8" s="164" t="s">
        <v>80</v>
      </c>
      <c r="E8" s="204" t="s">
        <v>119</v>
      </c>
      <c r="F8" s="170">
        <v>4</v>
      </c>
      <c r="G8" s="166">
        <v>25</v>
      </c>
      <c r="H8" s="167">
        <f t="shared" si="0"/>
        <v>100</v>
      </c>
      <c r="I8" s="164">
        <v>0.1</v>
      </c>
      <c r="J8" s="168">
        <f t="shared" si="1"/>
        <v>0.4</v>
      </c>
    </row>
    <row r="9" spans="1:10">
      <c r="A9" s="156"/>
      <c r="B9" s="164"/>
      <c r="C9" s="164" t="s">
        <v>97</v>
      </c>
      <c r="D9" s="164" t="s">
        <v>80</v>
      </c>
      <c r="E9" s="204" t="s">
        <v>120</v>
      </c>
      <c r="F9" s="170">
        <v>1</v>
      </c>
      <c r="G9" s="166">
        <v>40</v>
      </c>
      <c r="H9" s="167">
        <f t="shared" si="0"/>
        <v>40</v>
      </c>
      <c r="I9" s="164">
        <v>0.1</v>
      </c>
      <c r="J9" s="168">
        <f t="shared" si="1"/>
        <v>0.1</v>
      </c>
    </row>
    <row r="10" spans="1:10">
      <c r="A10" s="156"/>
      <c r="B10" s="164"/>
      <c r="C10" s="164" t="s">
        <v>97</v>
      </c>
      <c r="D10" s="164" t="s">
        <v>80</v>
      </c>
      <c r="E10" s="204" t="s">
        <v>121</v>
      </c>
      <c r="F10" s="170">
        <v>1</v>
      </c>
      <c r="G10" s="166">
        <v>38</v>
      </c>
      <c r="H10" s="167">
        <f t="shared" si="0"/>
        <v>38</v>
      </c>
      <c r="I10" s="164">
        <v>0.1</v>
      </c>
      <c r="J10" s="168">
        <f t="shared" si="1"/>
        <v>0.1</v>
      </c>
    </row>
    <row r="11" spans="1:10">
      <c r="J11" s="108">
        <f>SUM(J2:J10)</f>
        <v>21.5</v>
      </c>
    </row>
    <row r="12" spans="1:10">
      <c r="A12" s="205" t="s">
        <v>102</v>
      </c>
      <c r="B12" s="106"/>
    </row>
    <row r="13" ht="27" customHeight="1" spans="1:10">
      <c r="A13" s="106" t="s">
        <v>84</v>
      </c>
      <c r="B13" s="107" t="s">
        <v>122</v>
      </c>
    </row>
    <row r="14" ht="23" customHeight="1" spans="1:10">
      <c r="A14" s="106" t="s">
        <v>87</v>
      </c>
      <c r="B14" s="106" t="s">
        <v>123</v>
      </c>
    </row>
    <row r="15" ht="100.8" spans="1:10">
      <c r="A15" s="106" t="s">
        <v>26</v>
      </c>
      <c r="B15" s="119" t="s">
        <v>124</v>
      </c>
    </row>
    <row r="16" ht="22" customHeight="1" spans="1:10">
      <c r="A16" s="206" t="s">
        <v>53</v>
      </c>
      <c r="B16" s="207">
        <f>45*30+500+500</f>
        <v>2350</v>
      </c>
    </row>
    <row r="17" ht="43.2" spans="1:2">
      <c r="A17" s="106" t="s">
        <v>54</v>
      </c>
      <c r="B17" s="119" t="s">
        <v>125</v>
      </c>
    </row>
    <row r="18" ht="36" customHeight="1" spans="1:2">
      <c r="A18" s="106" t="s">
        <v>56</v>
      </c>
      <c r="B18" s="106" t="s">
        <v>126</v>
      </c>
    </row>
  </sheetData>
  <mergeCells count="2">
    <mergeCell ref="A2:A10"/>
    <mergeCell ref="B2:B1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workbookViewId="0">
      <selection activeCell="D8" sqref="D8"/>
    </sheetView>
  </sheetViews>
  <sheetFormatPr defaultColWidth="8.88888888888889" defaultRowHeight="14.4"/>
  <cols>
    <col min="1" max="1" width="29" style="108" customWidth="1"/>
    <col min="2" max="2" width="25.5555555555556" style="108" customWidth="1"/>
    <col min="3" max="3" width="8.88888888888889" style="108"/>
    <col min="4" max="4" width="24.6666666666667" style="108" customWidth="1"/>
    <col min="5" max="5" width="27.2222222222222" style="108" customWidth="1"/>
    <col min="6" max="6" width="8.88888888888889" style="108"/>
    <col min="7" max="8" width="15.7777777777778" style="108" customWidth="1"/>
    <col min="9" max="10" width="8.88888888888889" style="108"/>
    <col min="11" max="11" width="15.3333333333333" style="108" customWidth="1"/>
    <col min="12" max="16384" width="8.88888888888889" style="108"/>
  </cols>
  <sheetData>
    <row r="1" ht="28.8" spans="1:11">
      <c r="A1" s="156" t="s">
        <v>95</v>
      </c>
      <c r="B1" s="175" t="s">
        <v>127</v>
      </c>
      <c r="C1" s="176" t="s">
        <v>97</v>
      </c>
      <c r="D1" s="176" t="s">
        <v>98</v>
      </c>
      <c r="E1" s="177" t="s">
        <v>99</v>
      </c>
      <c r="F1" s="178">
        <v>2</v>
      </c>
      <c r="G1" s="179">
        <v>132631</v>
      </c>
      <c r="H1" s="179">
        <f>G1*F1</f>
        <v>265262</v>
      </c>
      <c r="I1" s="176">
        <v>10</v>
      </c>
      <c r="J1" s="180">
        <f>F1*I1</f>
        <v>20</v>
      </c>
      <c r="K1" s="181">
        <f>SUM(H1:H2)</f>
        <v>266338.8</v>
      </c>
    </row>
    <row r="2" ht="30" customHeight="1" spans="1:11">
      <c r="A2" s="164" t="s">
        <v>128</v>
      </c>
      <c r="B2" s="182"/>
      <c r="C2" s="164" t="s">
        <v>79</v>
      </c>
      <c r="D2" s="164" t="s">
        <v>80</v>
      </c>
      <c r="E2" s="165" t="s">
        <v>129</v>
      </c>
      <c r="F2" s="164">
        <v>32</v>
      </c>
      <c r="G2" s="183">
        <v>33.65</v>
      </c>
      <c r="H2" s="183">
        <f>G2*F2</f>
        <v>1076.8</v>
      </c>
      <c r="I2" s="164">
        <v>0.1</v>
      </c>
      <c r="J2" s="184">
        <f>F2*I2</f>
        <v>3.2</v>
      </c>
      <c r="K2" s="181"/>
    </row>
    <row r="5" spans="1:11">
      <c r="A5" s="185" t="s">
        <v>130</v>
      </c>
    </row>
    <row r="6" spans="1:11">
      <c r="A6" s="108" t="s">
        <v>1</v>
      </c>
      <c r="B6" s="108" t="s">
        <v>131</v>
      </c>
    </row>
    <row r="7" spans="1:11">
      <c r="A7" s="186" t="s">
        <v>132</v>
      </c>
      <c r="B7" s="187" t="s">
        <v>122</v>
      </c>
      <c r="C7" s="186"/>
      <c r="D7" s="186"/>
    </row>
    <row r="8" spans="1:11">
      <c r="A8" s="188"/>
      <c r="B8" s="187"/>
      <c r="C8" s="186"/>
      <c r="D8" s="186"/>
    </row>
    <row r="9" ht="41.4" spans="1:11">
      <c r="A9" s="189" t="s">
        <v>133</v>
      </c>
      <c r="B9" s="190">
        <f>84*45</f>
        <v>3780</v>
      </c>
      <c r="C9" s="186"/>
      <c r="D9" s="186"/>
    </row>
    <row r="10" spans="1:11">
      <c r="A10" s="189" t="s">
        <v>134</v>
      </c>
      <c r="B10" s="190">
        <v>200</v>
      </c>
      <c r="C10" s="186"/>
      <c r="D10" s="186"/>
    </row>
    <row r="11" spans="1:11">
      <c r="A11" s="189" t="s">
        <v>135</v>
      </c>
      <c r="B11" s="190">
        <v>300</v>
      </c>
      <c r="C11" s="186"/>
      <c r="D11" s="186"/>
    </row>
    <row r="12" spans="1:11">
      <c r="A12" s="191" t="s">
        <v>136</v>
      </c>
      <c r="B12" s="190">
        <v>500</v>
      </c>
      <c r="C12" s="186"/>
      <c r="D12" s="186"/>
    </row>
    <row r="13" spans="1:11">
      <c r="A13" s="189" t="s">
        <v>137</v>
      </c>
      <c r="B13" s="190"/>
      <c r="C13" s="186"/>
      <c r="D13" s="188"/>
    </row>
    <row r="14" spans="1:11">
      <c r="A14" s="189" t="s">
        <v>138</v>
      </c>
      <c r="B14" s="190"/>
      <c r="C14" s="186"/>
      <c r="D14" s="186"/>
    </row>
    <row r="15" spans="1:11">
      <c r="A15" s="192" t="s">
        <v>139</v>
      </c>
      <c r="B15" s="193">
        <f>SUM(B9:B11)</f>
        <v>4280</v>
      </c>
      <c r="C15" s="186"/>
      <c r="D15" s="186"/>
    </row>
    <row r="16" spans="1:11">
      <c r="A16" s="189" t="s">
        <v>140</v>
      </c>
      <c r="B16" s="186"/>
      <c r="C16" s="186"/>
      <c r="D16" s="186"/>
    </row>
    <row r="17" spans="1:5">
      <c r="A17" s="191" t="s">
        <v>141</v>
      </c>
      <c r="B17" s="194">
        <f>150</f>
        <v>150</v>
      </c>
      <c r="C17" s="186"/>
      <c r="D17" s="186"/>
    </row>
    <row r="18" spans="1:5">
      <c r="A18" s="191" t="s">
        <v>142</v>
      </c>
      <c r="B18" s="194">
        <v>280</v>
      </c>
      <c r="C18" s="186"/>
      <c r="D18" s="186"/>
    </row>
    <row r="19" spans="1:5">
      <c r="A19" s="189" t="s">
        <v>143</v>
      </c>
      <c r="B19" s="194">
        <v>200</v>
      </c>
      <c r="C19" s="186"/>
      <c r="D19" s="186"/>
    </row>
    <row r="20" spans="1:5">
      <c r="A20" s="189" t="s">
        <v>144</v>
      </c>
      <c r="B20" s="194">
        <v>45</v>
      </c>
      <c r="C20" s="186"/>
      <c r="D20" s="186"/>
    </row>
    <row r="21" ht="28.8" spans="1:5">
      <c r="A21" s="191" t="s">
        <v>145</v>
      </c>
      <c r="B21" s="194">
        <v>385</v>
      </c>
      <c r="C21" s="186"/>
      <c r="D21" s="186"/>
    </row>
    <row r="22" ht="30" customHeight="1" spans="1:5">
      <c r="A22" s="191" t="s">
        <v>146</v>
      </c>
      <c r="B22" s="194">
        <v>200</v>
      </c>
      <c r="C22" s="186"/>
      <c r="D22" s="186"/>
    </row>
    <row r="23" ht="28" customHeight="1" spans="1:5">
      <c r="A23" s="189" t="s">
        <v>147</v>
      </c>
      <c r="B23" s="194">
        <v>100</v>
      </c>
      <c r="C23" s="186"/>
      <c r="D23" s="186"/>
    </row>
    <row r="24" ht="37" customHeight="1" spans="1:5">
      <c r="A24" s="189" t="s">
        <v>148</v>
      </c>
      <c r="B24" s="194">
        <v>75</v>
      </c>
      <c r="C24" s="186"/>
      <c r="D24" s="186" t="s">
        <v>149</v>
      </c>
    </row>
    <row r="25" ht="48" customHeight="1" spans="1:5">
      <c r="A25" s="195" t="s">
        <v>150</v>
      </c>
      <c r="B25" s="193">
        <f>SUM(B17:B24)*7.2</f>
        <v>10332</v>
      </c>
      <c r="C25" s="186"/>
      <c r="D25" s="186"/>
    </row>
    <row r="26" ht="43" customHeight="1" spans="1:5">
      <c r="A26" s="196" t="s">
        <v>151</v>
      </c>
      <c r="B26" s="197">
        <f>B15+B25</f>
        <v>14612</v>
      </c>
      <c r="C26" s="188" t="s">
        <v>152</v>
      </c>
      <c r="D26" s="186"/>
      <c r="E26" s="155"/>
    </row>
    <row r="27" ht="43" customHeight="1" spans="1:5">
      <c r="A27" s="198" t="s">
        <v>153</v>
      </c>
      <c r="B27" s="199">
        <f>K1*27.8464%</f>
        <v>74165.7676032</v>
      </c>
      <c r="C27" s="198" t="s">
        <v>154</v>
      </c>
      <c r="D27" s="186"/>
      <c r="E27" s="200"/>
    </row>
    <row r="28" ht="24" customHeight="1" spans="1:5">
      <c r="A28" s="198" t="s">
        <v>155</v>
      </c>
      <c r="B28" s="199">
        <f>B27*3.5%</f>
        <v>2595.801866112</v>
      </c>
      <c r="C28" s="198"/>
      <c r="D28" s="186"/>
      <c r="E28" s="200"/>
    </row>
    <row r="29" ht="39" customHeight="1" spans="1:5">
      <c r="A29" s="201" t="s">
        <v>156</v>
      </c>
      <c r="B29" s="201"/>
      <c r="C29" s="201"/>
      <c r="D29" s="186"/>
    </row>
    <row r="31" spans="1:5">
      <c r="A31" s="108" t="s">
        <v>111</v>
      </c>
    </row>
    <row r="41" spans="1:1">
      <c r="A41" s="108" t="s">
        <v>157</v>
      </c>
    </row>
  </sheetData>
  <mergeCells count="3">
    <mergeCell ref="A29:C29"/>
    <mergeCell ref="B1:B2"/>
    <mergeCell ref="K1:K2"/>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opLeftCell="A5" workbookViewId="0">
      <selection activeCell="C17" sqref="C17"/>
    </sheetView>
  </sheetViews>
  <sheetFormatPr defaultColWidth="8.88888888888889" defaultRowHeight="14.4"/>
  <cols>
    <col min="1" max="1" width="20.6666666666667" style="108" customWidth="1"/>
    <col min="2" max="2" width="52.4444444444444" style="108" customWidth="1"/>
    <col min="3" max="3" width="43.3333333333333" style="108" customWidth="1"/>
    <col min="4" max="4" width="8.88888888888889" style="108"/>
    <col min="5" max="5" width="17.3333333333333" style="108" customWidth="1"/>
    <col min="6" max="6" width="8.88888888888889" style="108"/>
    <col min="7" max="7" width="17.4444444444444" style="108" customWidth="1"/>
    <col min="8" max="8" width="18.4444444444444" style="108" customWidth="1"/>
    <col min="9" max="16384" width="8.88888888888889" style="108"/>
  </cols>
  <sheetData>
    <row r="1" spans="1:10">
      <c r="A1" s="155" t="s">
        <v>158</v>
      </c>
    </row>
    <row r="2" ht="30" customHeight="1" spans="1:10">
      <c r="A2" s="156" t="s">
        <v>95</v>
      </c>
      <c r="B2" s="157" t="s">
        <v>159</v>
      </c>
      <c r="C2" s="158" t="s">
        <v>97</v>
      </c>
      <c r="D2" s="158" t="s">
        <v>98</v>
      </c>
      <c r="E2" s="159" t="s">
        <v>160</v>
      </c>
      <c r="F2" s="160">
        <v>6</v>
      </c>
      <c r="G2" s="161">
        <v>50000</v>
      </c>
      <c r="H2" s="161">
        <f t="shared" ref="H2:H14" si="0">G2*F2</f>
        <v>300000</v>
      </c>
      <c r="I2" s="158">
        <v>1.5</v>
      </c>
      <c r="J2" s="158">
        <f t="shared" ref="J2:J14" si="1">F2*I2</f>
        <v>9</v>
      </c>
    </row>
    <row r="3" ht="31" customHeight="1" spans="1:10">
      <c r="A3" s="156"/>
      <c r="B3" s="157"/>
      <c r="C3" s="158" t="s">
        <v>97</v>
      </c>
      <c r="D3" s="158" t="s">
        <v>98</v>
      </c>
      <c r="E3" s="162" t="s">
        <v>99</v>
      </c>
      <c r="F3" s="158">
        <v>2</v>
      </c>
      <c r="G3" s="161">
        <v>132631</v>
      </c>
      <c r="H3" s="163">
        <f t="shared" si="0"/>
        <v>265262</v>
      </c>
      <c r="I3" s="158">
        <v>10</v>
      </c>
      <c r="J3" s="158">
        <f t="shared" si="1"/>
        <v>20</v>
      </c>
    </row>
    <row r="4" ht="34" customHeight="1" spans="1:10">
      <c r="A4" s="156"/>
      <c r="B4" s="157"/>
      <c r="C4" s="164" t="s">
        <v>97</v>
      </c>
      <c r="D4" s="164" t="s">
        <v>80</v>
      </c>
      <c r="E4" s="165" t="s">
        <v>113</v>
      </c>
      <c r="F4" s="164">
        <v>82</v>
      </c>
      <c r="G4" s="166">
        <v>950</v>
      </c>
      <c r="H4" s="167">
        <f t="shared" si="0"/>
        <v>77900</v>
      </c>
      <c r="I4" s="164">
        <v>0.1</v>
      </c>
      <c r="J4" s="168">
        <f t="shared" si="1"/>
        <v>8.2</v>
      </c>
    </row>
    <row r="5" ht="31" customHeight="1" spans="1:10">
      <c r="A5" s="156"/>
      <c r="B5" s="157"/>
      <c r="C5" s="164" t="s">
        <v>97</v>
      </c>
      <c r="D5" s="164" t="s">
        <v>80</v>
      </c>
      <c r="E5" s="165" t="s">
        <v>115</v>
      </c>
      <c r="F5" s="164">
        <v>30</v>
      </c>
      <c r="G5" s="166">
        <v>80.7</v>
      </c>
      <c r="H5" s="167">
        <f t="shared" si="0"/>
        <v>2421</v>
      </c>
      <c r="I5" s="164">
        <v>0.1</v>
      </c>
      <c r="J5" s="168">
        <f t="shared" si="1"/>
        <v>3</v>
      </c>
    </row>
    <row r="6" ht="20" customHeight="1" spans="1:10">
      <c r="A6" s="156"/>
      <c r="B6" s="157"/>
      <c r="C6" s="164" t="s">
        <v>97</v>
      </c>
      <c r="D6" s="164" t="s">
        <v>80</v>
      </c>
      <c r="E6" s="165" t="s">
        <v>161</v>
      </c>
      <c r="F6" s="164">
        <v>49</v>
      </c>
      <c r="G6" s="166">
        <v>10.15</v>
      </c>
      <c r="H6" s="167">
        <f t="shared" si="0"/>
        <v>497.35</v>
      </c>
      <c r="I6" s="164">
        <v>0.1</v>
      </c>
      <c r="J6" s="168">
        <f t="shared" si="1"/>
        <v>4.9</v>
      </c>
    </row>
    <row r="7" ht="20" customHeight="1" spans="1:10">
      <c r="A7" s="156"/>
      <c r="B7" s="157"/>
      <c r="C7" s="164" t="s">
        <v>97</v>
      </c>
      <c r="D7" s="164" t="s">
        <v>80</v>
      </c>
      <c r="E7" s="169" t="s">
        <v>117</v>
      </c>
      <c r="F7" s="164">
        <v>66</v>
      </c>
      <c r="G7" s="166">
        <v>117</v>
      </c>
      <c r="H7" s="167">
        <f t="shared" si="0"/>
        <v>7722</v>
      </c>
      <c r="I7" s="164">
        <v>0.1</v>
      </c>
      <c r="J7" s="168">
        <f t="shared" si="1"/>
        <v>6.6</v>
      </c>
    </row>
    <row r="8" ht="20" customHeight="1" spans="1:10">
      <c r="A8" s="156"/>
      <c r="B8" s="157"/>
      <c r="C8" s="164" t="s">
        <v>97</v>
      </c>
      <c r="D8" s="164" t="s">
        <v>80</v>
      </c>
      <c r="E8" s="169" t="s">
        <v>118</v>
      </c>
      <c r="F8" s="170">
        <v>2</v>
      </c>
      <c r="G8" s="166">
        <v>20</v>
      </c>
      <c r="H8" s="167">
        <f t="shared" si="0"/>
        <v>40</v>
      </c>
      <c r="I8" s="164">
        <v>0.1</v>
      </c>
      <c r="J8" s="168">
        <f t="shared" si="1"/>
        <v>0.2</v>
      </c>
    </row>
    <row r="9" ht="20" customHeight="1" spans="1:10">
      <c r="A9" s="156"/>
      <c r="B9" s="157"/>
      <c r="C9" s="164" t="s">
        <v>97</v>
      </c>
      <c r="D9" s="164" t="s">
        <v>80</v>
      </c>
      <c r="E9" s="169" t="s">
        <v>119</v>
      </c>
      <c r="F9" s="170">
        <v>10</v>
      </c>
      <c r="G9" s="166">
        <v>25</v>
      </c>
      <c r="H9" s="167">
        <f t="shared" si="0"/>
        <v>250</v>
      </c>
      <c r="I9" s="164">
        <v>0.1</v>
      </c>
      <c r="J9" s="168">
        <f t="shared" si="1"/>
        <v>1</v>
      </c>
    </row>
    <row r="10" ht="20" customHeight="1" spans="1:10">
      <c r="A10" s="156"/>
      <c r="B10" s="157"/>
      <c r="C10" s="164" t="s">
        <v>97</v>
      </c>
      <c r="D10" s="164" t="s">
        <v>80</v>
      </c>
      <c r="E10" s="169" t="s">
        <v>120</v>
      </c>
      <c r="F10" s="170">
        <v>5</v>
      </c>
      <c r="G10" s="166">
        <v>40</v>
      </c>
      <c r="H10" s="167">
        <f t="shared" si="0"/>
        <v>200</v>
      </c>
      <c r="I10" s="164">
        <v>0.1</v>
      </c>
      <c r="J10" s="168">
        <f t="shared" si="1"/>
        <v>0.5</v>
      </c>
    </row>
    <row r="11" ht="20" customHeight="1" spans="1:10">
      <c r="A11" s="156"/>
      <c r="B11" s="157"/>
      <c r="C11" s="164" t="s">
        <v>97</v>
      </c>
      <c r="D11" s="164" t="s">
        <v>80</v>
      </c>
      <c r="E11" s="169" t="s">
        <v>121</v>
      </c>
      <c r="F11" s="170">
        <v>5</v>
      </c>
      <c r="G11" s="166">
        <v>38</v>
      </c>
      <c r="H11" s="167">
        <f t="shared" si="0"/>
        <v>190</v>
      </c>
      <c r="I11" s="164">
        <v>0.1</v>
      </c>
      <c r="J11" s="168">
        <f t="shared" si="1"/>
        <v>0.5</v>
      </c>
    </row>
    <row r="12" ht="20" customHeight="1" spans="1:10">
      <c r="A12" s="156"/>
      <c r="B12" s="157"/>
      <c r="C12" s="164" t="s">
        <v>97</v>
      </c>
      <c r="D12" s="164" t="s">
        <v>80</v>
      </c>
      <c r="E12" s="169" t="s">
        <v>162</v>
      </c>
      <c r="F12" s="170">
        <v>15</v>
      </c>
      <c r="G12" s="166">
        <v>19</v>
      </c>
      <c r="H12" s="167">
        <f t="shared" si="0"/>
        <v>285</v>
      </c>
      <c r="I12" s="164">
        <v>0.1</v>
      </c>
      <c r="J12" s="168">
        <f t="shared" si="1"/>
        <v>1.5</v>
      </c>
    </row>
    <row r="13" ht="20" customHeight="1" spans="1:10">
      <c r="A13" s="164" t="s">
        <v>163</v>
      </c>
      <c r="B13" s="157"/>
      <c r="C13" s="164" t="s">
        <v>79</v>
      </c>
      <c r="D13" s="164" t="s">
        <v>80</v>
      </c>
      <c r="E13" s="169" t="s">
        <v>164</v>
      </c>
      <c r="F13" s="164">
        <v>24</v>
      </c>
      <c r="G13" s="166">
        <v>25</v>
      </c>
      <c r="H13" s="167">
        <f t="shared" si="0"/>
        <v>600</v>
      </c>
      <c r="I13" s="164">
        <v>0.1</v>
      </c>
      <c r="J13" s="168">
        <f t="shared" si="1"/>
        <v>2.4</v>
      </c>
    </row>
    <row r="14" ht="20" customHeight="1" spans="1:10">
      <c r="A14" s="171" t="s">
        <v>165</v>
      </c>
      <c r="B14" s="157"/>
      <c r="C14" s="164" t="s">
        <v>79</v>
      </c>
      <c r="D14" s="164" t="s">
        <v>166</v>
      </c>
      <c r="E14" s="165" t="s">
        <v>167</v>
      </c>
      <c r="F14" s="164">
        <v>2</v>
      </c>
      <c r="G14" s="166">
        <v>11248</v>
      </c>
      <c r="H14" s="167">
        <f t="shared" si="0"/>
        <v>22496</v>
      </c>
      <c r="I14" s="164">
        <v>8</v>
      </c>
      <c r="J14" s="168">
        <f t="shared" si="1"/>
        <v>16</v>
      </c>
    </row>
    <row r="15" spans="1:10">
      <c r="H15" s="108">
        <f>SUM(H2:H14)</f>
        <v>677863.35</v>
      </c>
      <c r="J15" s="108">
        <f>SUM(J2:J14)</f>
        <v>73.8</v>
      </c>
    </row>
    <row r="16" ht="19" customHeight="1" spans="1:10">
      <c r="A16" s="106" t="s">
        <v>168</v>
      </c>
      <c r="B16" s="106" t="s">
        <v>169</v>
      </c>
    </row>
    <row r="17" ht="26" customHeight="1" spans="1:5">
      <c r="A17" s="106" t="s">
        <v>84</v>
      </c>
      <c r="B17" s="107" t="s">
        <v>170</v>
      </c>
    </row>
    <row r="18" ht="41" customHeight="1" spans="1:5">
      <c r="A18" s="106" t="s">
        <v>87</v>
      </c>
      <c r="B18" s="172" t="s">
        <v>171</v>
      </c>
      <c r="E18" s="173"/>
    </row>
    <row r="19" ht="264" customHeight="1" spans="1:5">
      <c r="A19" s="106" t="s">
        <v>26</v>
      </c>
      <c r="B19" s="119" t="s">
        <v>172</v>
      </c>
      <c r="C19" s="174">
        <v>8.4</v>
      </c>
    </row>
    <row r="20" ht="25" customHeight="1" spans="1:5">
      <c r="A20" s="106" t="s">
        <v>53</v>
      </c>
      <c r="B20" s="115">
        <f>100*68+200+800*8.4</f>
        <v>13720</v>
      </c>
      <c r="C20" s="155" t="s">
        <v>173</v>
      </c>
    </row>
    <row r="21" ht="30" customHeight="1" spans="1:5">
      <c r="A21" s="106" t="s">
        <v>174</v>
      </c>
      <c r="B21" s="115" t="s">
        <v>175</v>
      </c>
    </row>
    <row r="22" ht="28.8" spans="1:5">
      <c r="A22" s="106" t="s">
        <v>54</v>
      </c>
      <c r="B22" s="119" t="s">
        <v>176</v>
      </c>
    </row>
    <row r="23" ht="33" customHeight="1" spans="1:5">
      <c r="A23" s="106" t="s">
        <v>56</v>
      </c>
      <c r="B23" s="119" t="s">
        <v>177</v>
      </c>
    </row>
  </sheetData>
  <mergeCells count="2">
    <mergeCell ref="A2:A12"/>
    <mergeCell ref="B2:B1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90" zoomScaleNormal="90" topLeftCell="A7" workbookViewId="0">
      <selection activeCell="B7" sqref="B7"/>
    </sheetView>
  </sheetViews>
  <sheetFormatPr defaultColWidth="8.88888888888889" defaultRowHeight="14.4"/>
  <cols>
    <col min="1" max="1" width="16.4444444444444" style="108" customWidth="1"/>
    <col min="2" max="2" width="53.3333333333333" style="108" customWidth="1"/>
    <col min="3" max="6" width="8.88888888888889" style="108"/>
    <col min="7" max="7" width="26.6666666666667" style="108" customWidth="1"/>
    <col min="8" max="8" width="26.2222222222222" style="108" customWidth="1"/>
    <col min="9" max="16384" width="8.88888888888889" style="108"/>
  </cols>
  <sheetData>
    <row r="1" ht="26" customHeight="1" spans="1:10">
      <c r="A1" s="108" t="s">
        <v>178</v>
      </c>
    </row>
    <row r="2" ht="33" customHeight="1" spans="1:10">
      <c r="A2" s="147" t="s">
        <v>77</v>
      </c>
      <c r="B2" s="148" t="s">
        <v>179</v>
      </c>
      <c r="C2" s="149" t="s">
        <v>79</v>
      </c>
      <c r="D2" s="149" t="s">
        <v>166</v>
      </c>
      <c r="E2" s="150" t="s">
        <v>180</v>
      </c>
      <c r="F2" s="149">
        <v>1</v>
      </c>
      <c r="G2" s="151">
        <v>11906</v>
      </c>
      <c r="H2" s="152">
        <f>G2*F2</f>
        <v>11906</v>
      </c>
      <c r="I2" s="149">
        <v>8</v>
      </c>
      <c r="J2" s="153">
        <f>F2*I2</f>
        <v>8</v>
      </c>
    </row>
    <row r="4" spans="1:10">
      <c r="A4" s="106" t="s">
        <v>181</v>
      </c>
      <c r="B4" s="106"/>
    </row>
    <row r="5" spans="1:10">
      <c r="A5" s="106" t="s">
        <v>84</v>
      </c>
      <c r="B5" s="107" t="s">
        <v>182</v>
      </c>
      <c r="D5" s="108" t="s">
        <v>183</v>
      </c>
    </row>
    <row r="6" spans="1:10">
      <c r="A6" s="106" t="s">
        <v>87</v>
      </c>
      <c r="B6" s="106" t="s">
        <v>88</v>
      </c>
    </row>
    <row r="7" ht="251" customHeight="1" spans="1:10">
      <c r="A7" s="106" t="s">
        <v>26</v>
      </c>
      <c r="B7" s="119" t="s">
        <v>184</v>
      </c>
      <c r="D7" s="108" t="s">
        <v>185</v>
      </c>
    </row>
    <row r="8" ht="25" customHeight="1" spans="1:10">
      <c r="A8" s="106" t="s">
        <v>53</v>
      </c>
      <c r="B8" s="115">
        <f>((300+180+60+350)*7.2)+((95+115+125+380+280+200)*8.4)</f>
        <v>16446</v>
      </c>
    </row>
    <row r="9" ht="24" customHeight="1" spans="1:10">
      <c r="A9" s="106" t="s">
        <v>186</v>
      </c>
      <c r="B9" s="115">
        <f>(11906+350*7.2)*19%</f>
        <v>2740.94</v>
      </c>
    </row>
    <row r="10" ht="33" customHeight="1" spans="1:10">
      <c r="A10" s="106" t="s">
        <v>107</v>
      </c>
      <c r="B10" s="115">
        <f>B9*4%</f>
        <v>109.6376</v>
      </c>
    </row>
    <row r="11" ht="33" customHeight="1" spans="1:10">
      <c r="A11" s="154" t="s">
        <v>91</v>
      </c>
      <c r="B11" s="118">
        <f>B8+B9+B10</f>
        <v>19296.5776</v>
      </c>
    </row>
    <row r="12" ht="52" customHeight="1" spans="1:10">
      <c r="A12" s="106" t="s">
        <v>54</v>
      </c>
      <c r="B12" s="119" t="s">
        <v>92</v>
      </c>
    </row>
    <row r="13" ht="39" customHeight="1" spans="1:10">
      <c r="A13" s="106" t="s">
        <v>56</v>
      </c>
      <c r="B13" s="119" t="s">
        <v>187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topLeftCell="A4" workbookViewId="0">
      <selection activeCell="E3" sqref="E3"/>
    </sheetView>
  </sheetViews>
  <sheetFormatPr defaultColWidth="8.88888888888889" defaultRowHeight="14.4" outlineLevelCol="1"/>
  <cols>
    <col min="1" max="1" width="21.2222222222222" customWidth="1"/>
    <col min="2" max="2" width="50.4444444444444" customWidth="1"/>
  </cols>
  <sheetData>
    <row r="1" ht="27" customHeight="1" spans="1:2">
      <c r="A1" s="141" t="s">
        <v>188</v>
      </c>
      <c r="B1" s="142">
        <v>10433.89</v>
      </c>
    </row>
    <row r="2" ht="25" customHeight="1" spans="1:2">
      <c r="A2" s="143" t="s">
        <v>189</v>
      </c>
      <c r="B2" s="105"/>
    </row>
    <row r="3" ht="25" customHeight="1" spans="1:2">
      <c r="A3" s="105" t="s">
        <v>87</v>
      </c>
      <c r="B3" s="111" t="s">
        <v>190</v>
      </c>
    </row>
    <row r="4" ht="229" customHeight="1" spans="1:2">
      <c r="A4" s="105" t="s">
        <v>191</v>
      </c>
      <c r="B4" s="119" t="s">
        <v>192</v>
      </c>
    </row>
    <row r="5" ht="33" customHeight="1" spans="1:2">
      <c r="A5" s="105" t="s">
        <v>53</v>
      </c>
      <c r="B5" s="115">
        <f>27*100+500+150+300+200+((100+35+200+200+250)*5.6)</f>
        <v>8246</v>
      </c>
    </row>
    <row r="6" ht="40" customHeight="1" spans="1:2">
      <c r="A6" s="144" t="s">
        <v>193</v>
      </c>
      <c r="B6" s="145">
        <f>B1*9%*7.2</f>
        <v>6761.16072</v>
      </c>
    </row>
    <row r="7" ht="36" customHeight="1" spans="1:2">
      <c r="A7" s="144" t="s">
        <v>194</v>
      </c>
      <c r="B7" s="145">
        <f>200*5.6</f>
        <v>1120</v>
      </c>
    </row>
    <row r="8" ht="35" customHeight="1" spans="1:2">
      <c r="A8" s="140" t="s">
        <v>195</v>
      </c>
      <c r="B8" s="118">
        <f>B6+B5+B7</f>
        <v>16127.16072</v>
      </c>
    </row>
    <row r="9" ht="27" customHeight="1" spans="1:2">
      <c r="A9" s="105" t="s">
        <v>56</v>
      </c>
      <c r="B9" s="105" t="s">
        <v>196</v>
      </c>
    </row>
    <row r="10" ht="43" customHeight="1" spans="1:2">
      <c r="A10" s="105" t="s">
        <v>54</v>
      </c>
      <c r="B10" s="119" t="s">
        <v>197</v>
      </c>
    </row>
    <row r="11" ht="40" customHeight="1" spans="1:2">
      <c r="A11" s="146" t="s">
        <v>198</v>
      </c>
      <c r="B11" s="146"/>
    </row>
    <row r="12" ht="28" customHeight="1"/>
  </sheetData>
  <mergeCells count="1">
    <mergeCell ref="A11:B1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workbookViewId="0">
      <selection activeCell="J4" sqref="J4"/>
    </sheetView>
  </sheetViews>
  <sheetFormatPr defaultColWidth="8.88888888888889" defaultRowHeight="14.4" outlineLevelCol="2"/>
  <cols>
    <col min="1" max="1" width="18.8888888888889" customWidth="1"/>
    <col min="2" max="2" width="48.8888888888889" customWidth="1"/>
  </cols>
  <sheetData>
    <row r="1" spans="1:3">
      <c r="A1" t="s">
        <v>199</v>
      </c>
      <c r="C1" t="s">
        <v>200</v>
      </c>
    </row>
    <row r="2" spans="1:3">
      <c r="A2" s="105" t="s">
        <v>84</v>
      </c>
      <c r="B2" s="107">
        <v>30</v>
      </c>
    </row>
    <row r="3" spans="1:3">
      <c r="A3" s="105" t="s">
        <v>87</v>
      </c>
      <c r="B3" s="105" t="s">
        <v>2</v>
      </c>
    </row>
    <row r="4" ht="268" customHeight="1" spans="1:3">
      <c r="A4" s="105" t="s">
        <v>26</v>
      </c>
      <c r="B4" s="119" t="s">
        <v>201</v>
      </c>
    </row>
    <row r="5" ht="23" customHeight="1" spans="1:3">
      <c r="A5" s="139" t="s">
        <v>53</v>
      </c>
      <c r="B5" s="115">
        <f>45*26+150+300+200+((35+35+45+150+150+80+180)*7.2)</f>
        <v>6680</v>
      </c>
    </row>
    <row r="6" ht="31" customHeight="1" spans="1:3">
      <c r="A6" s="139" t="s">
        <v>202</v>
      </c>
      <c r="B6" s="115">
        <f>100000*0.92*5%</f>
        <v>4600</v>
      </c>
    </row>
    <row r="7" ht="25" customHeight="1" spans="1:3">
      <c r="A7" s="139" t="s">
        <v>203</v>
      </c>
      <c r="B7" s="115">
        <f>B6*6%</f>
        <v>276</v>
      </c>
    </row>
    <row r="8" ht="26" customHeight="1" spans="1:3">
      <c r="A8" s="140" t="s">
        <v>91</v>
      </c>
      <c r="B8" s="118">
        <f>B5+B6+B7</f>
        <v>11556</v>
      </c>
    </row>
    <row r="9" ht="36" customHeight="1" spans="1:3">
      <c r="A9" s="105" t="s">
        <v>204</v>
      </c>
      <c r="B9" s="119" t="s">
        <v>205</v>
      </c>
    </row>
    <row r="10" ht="41" customHeight="1" spans="1:3">
      <c r="A10" s="105" t="s">
        <v>54</v>
      </c>
      <c r="B10" s="105" t="s">
        <v>206</v>
      </c>
    </row>
    <row r="11" ht="27" customHeight="1" spans="1:3">
      <c r="A11" s="105" t="s">
        <v>56</v>
      </c>
      <c r="B11" s="105" t="s">
        <v>126</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E5" sqref="E5"/>
    </sheetView>
  </sheetViews>
  <sheetFormatPr defaultColWidth="8.88888888888889" defaultRowHeight="14.4" outlineLevelCol="3"/>
  <cols>
    <col min="1" max="1" width="17.4444444444444" customWidth="1"/>
    <col min="2" max="2" width="38.2222222222222" customWidth="1"/>
    <col min="3" max="3" width="47.7777777777778" customWidth="1"/>
  </cols>
  <sheetData>
    <row r="1" spans="1:4">
      <c r="A1" s="133" t="s">
        <v>207</v>
      </c>
      <c r="B1" s="133"/>
      <c r="C1" s="133"/>
    </row>
    <row r="2" spans="1:4">
      <c r="A2" s="133" t="s">
        <v>84</v>
      </c>
      <c r="B2" s="134">
        <v>20</v>
      </c>
      <c r="C2" s="133" t="s">
        <v>208</v>
      </c>
    </row>
    <row r="3" spans="1:4">
      <c r="A3" s="133" t="s">
        <v>47</v>
      </c>
      <c r="B3" s="134" t="s">
        <v>209</v>
      </c>
      <c r="C3" s="133"/>
    </row>
    <row r="4" spans="1:4">
      <c r="A4" s="133" t="s">
        <v>87</v>
      </c>
      <c r="B4" s="135" t="s">
        <v>2</v>
      </c>
      <c r="C4" s="133" t="s">
        <v>210</v>
      </c>
    </row>
    <row r="5" ht="124" customHeight="1" spans="1:4">
      <c r="A5" s="133" t="s">
        <v>211</v>
      </c>
      <c r="B5" s="136" t="s">
        <v>212</v>
      </c>
      <c r="C5" s="136" t="s">
        <v>213</v>
      </c>
      <c r="D5" t="s">
        <v>214</v>
      </c>
    </row>
    <row r="6" ht="27" customHeight="1" spans="1:4">
      <c r="A6" s="133" t="s">
        <v>53</v>
      </c>
      <c r="B6" s="137">
        <f>44*30+200+450*1.7</f>
        <v>2285</v>
      </c>
      <c r="C6" s="137">
        <f>30*30</f>
        <v>900</v>
      </c>
    </row>
    <row r="7" ht="33" customHeight="1" spans="1:4">
      <c r="A7" s="133" t="s">
        <v>56</v>
      </c>
      <c r="B7" s="138" t="s">
        <v>215</v>
      </c>
      <c r="C7" s="138" t="s">
        <v>216</v>
      </c>
    </row>
    <row r="8" ht="46" customHeight="1" spans="1:4">
      <c r="A8" s="133" t="s">
        <v>54</v>
      </c>
      <c r="B8" s="138" t="s">
        <v>217</v>
      </c>
      <c r="C8" s="138" t="s">
        <v>217</v>
      </c>
    </row>
    <row r="9" ht="36" customHeight="1" spans="1:4">
      <c r="A9" s="133" t="s">
        <v>218</v>
      </c>
      <c r="B9" s="133" t="s">
        <v>219</v>
      </c>
      <c r="C9" s="133" t="s">
        <v>219</v>
      </c>
    </row>
    <row r="10" ht="30" customHeight="1" spans="1:4">
      <c r="A10" s="36" t="s">
        <v>220</v>
      </c>
      <c r="B10" s="36"/>
      <c r="C10" s="36"/>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4" sqref="B4"/>
    </sheetView>
  </sheetViews>
  <sheetFormatPr defaultColWidth="8.88888888888889" defaultRowHeight="14.4" outlineLevelRow="7" outlineLevelCol="1"/>
  <cols>
    <col min="1" max="1" width="22.4444444444444" customWidth="1"/>
    <col min="2" max="2" width="63.1111111111111" customWidth="1"/>
    <col min="3" max="3" width="60.5555555555556" customWidth="1"/>
  </cols>
  <sheetData>
    <row r="1" customHeight="1" spans="1:2">
      <c r="A1" s="122" t="s">
        <v>221</v>
      </c>
      <c r="B1" s="123"/>
    </row>
    <row r="2" spans="1:2">
      <c r="A2" s="124" t="s">
        <v>1</v>
      </c>
      <c r="B2" s="125" t="s">
        <v>2</v>
      </c>
    </row>
    <row r="3" ht="125" customHeight="1" spans="1:2">
      <c r="A3" s="126" t="s">
        <v>222</v>
      </c>
      <c r="B3" s="127" t="s">
        <v>223</v>
      </c>
    </row>
    <row r="4" spans="1:2">
      <c r="A4" s="128" t="s">
        <v>29</v>
      </c>
      <c r="B4" s="129">
        <f>4000+48*150+200+450*7.2</f>
        <v>14640</v>
      </c>
    </row>
    <row r="5" ht="26.4" spans="1:2">
      <c r="A5" s="130" t="s">
        <v>10</v>
      </c>
      <c r="B5" s="127" t="s">
        <v>224</v>
      </c>
    </row>
    <row r="6" spans="1:2">
      <c r="A6" s="130" t="s">
        <v>14</v>
      </c>
      <c r="B6" s="131" t="s">
        <v>225</v>
      </c>
    </row>
    <row r="7" ht="26.4" spans="1:2">
      <c r="A7" s="130" t="s">
        <v>226</v>
      </c>
      <c r="B7" s="127" t="s">
        <v>227</v>
      </c>
    </row>
    <row r="8" spans="1:2">
      <c r="A8" s="130" t="s">
        <v>228</v>
      </c>
      <c r="B8" s="132">
        <v>119764</v>
      </c>
    </row>
  </sheetData>
  <mergeCells count="1">
    <mergeCell ref="A1:B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zoomScale="85" zoomScaleNormal="85" topLeftCell="A7" workbookViewId="0">
      <selection activeCell="C5" sqref="C5"/>
    </sheetView>
  </sheetViews>
  <sheetFormatPr defaultColWidth="8.88888888888889" defaultRowHeight="14.4" outlineLevelCol="4"/>
  <cols>
    <col min="1" max="1" width="24.4444444444444" customWidth="1"/>
    <col min="2" max="2" width="39.7777777777778" customWidth="1"/>
    <col min="3" max="3" width="64.3333333333333" customWidth="1"/>
  </cols>
  <sheetData>
    <row r="1" spans="1:5">
      <c r="A1" t="s">
        <v>229</v>
      </c>
      <c r="C1" t="s">
        <v>230</v>
      </c>
    </row>
    <row r="2" spans="1:5">
      <c r="A2" s="105" t="s">
        <v>231</v>
      </c>
      <c r="B2" s="105"/>
      <c r="C2" s="105"/>
    </row>
    <row r="3" spans="1:5">
      <c r="A3" s="106" t="s">
        <v>232</v>
      </c>
      <c r="B3" s="107" t="s">
        <v>233</v>
      </c>
      <c r="C3" s="107"/>
      <c r="D3" s="108"/>
    </row>
    <row r="4" spans="1:5">
      <c r="A4" s="109" t="s">
        <v>234</v>
      </c>
      <c r="B4" s="110" t="s">
        <v>235</v>
      </c>
      <c r="C4" s="107" t="s">
        <v>236</v>
      </c>
      <c r="D4" s="108"/>
    </row>
    <row r="5" spans="1:5">
      <c r="A5" s="111" t="s">
        <v>87</v>
      </c>
      <c r="B5" s="111" t="s">
        <v>237</v>
      </c>
      <c r="C5" s="111" t="s">
        <v>2</v>
      </c>
    </row>
    <row r="6" ht="160" customHeight="1" spans="1:5">
      <c r="A6" s="105" t="s">
        <v>238</v>
      </c>
      <c r="B6" s="112" t="s">
        <v>239</v>
      </c>
      <c r="C6" s="113" t="s">
        <v>240</v>
      </c>
    </row>
    <row r="7" ht="174" customHeight="1" spans="1:5">
      <c r="A7" s="105" t="s">
        <v>238</v>
      </c>
      <c r="B7" s="114" t="s">
        <v>241</v>
      </c>
      <c r="C7" s="114" t="s">
        <v>242</v>
      </c>
      <c r="E7" t="s">
        <v>243</v>
      </c>
    </row>
    <row r="8" ht="18" customHeight="1" spans="1:5">
      <c r="A8" s="105" t="s">
        <v>244</v>
      </c>
      <c r="B8" s="115" t="e">
        <f>12.97*B4+1775+2400+5.7*B4+70*100+5500+1.5*B4*5</f>
        <v>#VALUE!</v>
      </c>
      <c r="C8" s="115" t="e">
        <f>2700+100+300+500+0.55*B4+B4*17+500+500+1000+((12800+11000+48*B4+15000+399800+6000*2+35000*4)*0.05)</f>
        <v>#VALUE!</v>
      </c>
      <c r="D8" s="116"/>
    </row>
    <row r="9" ht="23" customHeight="1" spans="1:5">
      <c r="A9" s="105" t="s">
        <v>245</v>
      </c>
      <c r="B9" s="115">
        <f>2000000*10%</f>
        <v>200000</v>
      </c>
      <c r="C9" s="115">
        <f>B9</f>
        <v>200000</v>
      </c>
      <c r="D9" s="116"/>
    </row>
    <row r="10" ht="22" customHeight="1" spans="1:5">
      <c r="A10" s="105" t="s">
        <v>246</v>
      </c>
      <c r="B10" s="115">
        <f>B9*5%</f>
        <v>10000</v>
      </c>
      <c r="C10" s="115">
        <f>B10</f>
        <v>10000</v>
      </c>
      <c r="D10" s="116"/>
    </row>
    <row r="11" ht="24" customHeight="1" spans="1:5">
      <c r="A11" s="117" t="s">
        <v>247</v>
      </c>
      <c r="B11" s="118" t="e">
        <f>B8+B9+B10</f>
        <v>#VALUE!</v>
      </c>
      <c r="C11" s="118" t="e">
        <f>C8+C9+C10</f>
        <v>#VALUE!</v>
      </c>
      <c r="D11" s="116"/>
    </row>
    <row r="12" ht="42" customHeight="1" spans="1:5">
      <c r="A12" s="105" t="s">
        <v>54</v>
      </c>
      <c r="B12" s="119" t="s">
        <v>248</v>
      </c>
      <c r="C12" s="120" t="s">
        <v>249</v>
      </c>
      <c r="D12" s="116"/>
    </row>
    <row r="13" ht="36" customHeight="1" spans="1:5">
      <c r="A13" s="105" t="s">
        <v>56</v>
      </c>
      <c r="B13" s="119" t="s">
        <v>250</v>
      </c>
      <c r="C13" s="119" t="s">
        <v>250</v>
      </c>
      <c r="D13" s="116"/>
    </row>
    <row r="14" ht="49" customHeight="1" spans="1:5">
      <c r="A14" s="105" t="s">
        <v>204</v>
      </c>
      <c r="B14" s="107" t="s">
        <v>251</v>
      </c>
      <c r="C14" s="107"/>
    </row>
    <row r="15" ht="66" customHeight="1" spans="1:5">
      <c r="C15" s="121"/>
    </row>
    <row r="16" ht="31" customHeight="1"/>
  </sheetData>
  <mergeCells count="1">
    <mergeCell ref="B14:C1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
  <sheetViews>
    <sheetView zoomScale="75" zoomScaleNormal="75" workbookViewId="0">
      <selection activeCell="E3" sqref="E3"/>
    </sheetView>
  </sheetViews>
  <sheetFormatPr defaultColWidth="9.43518518518519" defaultRowHeight="17.4" outlineLevelCol="5"/>
  <cols>
    <col min="1" max="1" width="43.4259259259259" style="44" customWidth="1"/>
    <col min="2" max="2" width="32.4074074074074" style="45" customWidth="1"/>
    <col min="3" max="3" width="43.4259259259259" style="44" customWidth="1"/>
    <col min="4" max="4" width="18.9259259259259" style="44" customWidth="1"/>
    <col min="5" max="16384" width="9.43518518518519" style="44"/>
  </cols>
  <sheetData>
    <row r="1" spans="1:5">
      <c r="A1" s="46" t="s">
        <v>252</v>
      </c>
      <c r="B1" s="47">
        <v>73</v>
      </c>
      <c r="C1" s="48"/>
    </row>
    <row r="2" spans="1:5">
      <c r="A2" s="49" t="s">
        <v>253</v>
      </c>
      <c r="B2" s="50" t="s">
        <v>78</v>
      </c>
      <c r="C2" s="51"/>
    </row>
    <row r="3" ht="21" customHeight="1" spans="1:5">
      <c r="A3" s="49" t="s">
        <v>254</v>
      </c>
      <c r="B3" s="50" t="s">
        <v>255</v>
      </c>
      <c r="C3" s="51"/>
    </row>
    <row r="4" spans="1:5">
      <c r="A4" s="49"/>
      <c r="B4" s="52"/>
      <c r="C4" s="53"/>
      <c r="D4" s="54" t="s">
        <v>256</v>
      </c>
      <c r="E4" s="45">
        <v>5.6</v>
      </c>
    </row>
    <row r="5" spans="1:5">
      <c r="A5" s="55" t="s">
        <v>257</v>
      </c>
      <c r="B5" s="56" t="s">
        <v>258</v>
      </c>
      <c r="C5" s="57" t="s">
        <v>259</v>
      </c>
      <c r="D5" s="54" t="s">
        <v>260</v>
      </c>
      <c r="E5" s="45">
        <v>7.2</v>
      </c>
    </row>
    <row r="6" spans="1:5">
      <c r="A6" s="58" t="s">
        <v>261</v>
      </c>
      <c r="B6" s="59"/>
      <c r="C6" s="60"/>
      <c r="D6" s="45" t="s">
        <v>262</v>
      </c>
      <c r="E6" s="45" t="s">
        <v>263</v>
      </c>
    </row>
    <row r="7" ht="34.8" spans="1:5">
      <c r="A7" s="61" t="s">
        <v>264</v>
      </c>
      <c r="B7" s="62" t="s">
        <v>265</v>
      </c>
      <c r="C7" s="63" t="s">
        <v>266</v>
      </c>
      <c r="D7" s="45"/>
      <c r="E7" s="45">
        <f>620</f>
        <v>620</v>
      </c>
    </row>
    <row r="8" spans="1:5">
      <c r="A8" s="61" t="s">
        <v>267</v>
      </c>
      <c r="B8" s="64" t="s">
        <v>268</v>
      </c>
      <c r="C8" s="63"/>
      <c r="D8" s="44">
        <f>50*7</f>
        <v>350</v>
      </c>
      <c r="E8" s="44" t="s">
        <v>269</v>
      </c>
    </row>
    <row r="9" spans="1:5">
      <c r="A9" s="61" t="s">
        <v>270</v>
      </c>
      <c r="B9" s="64" t="s">
        <v>271</v>
      </c>
      <c r="C9" s="65" t="s">
        <v>272</v>
      </c>
      <c r="D9" s="54" t="s">
        <v>273</v>
      </c>
    </row>
    <row r="10" spans="1:5">
      <c r="A10" s="61" t="s">
        <v>274</v>
      </c>
      <c r="B10" s="64" t="s">
        <v>275</v>
      </c>
      <c r="C10" s="65" t="s">
        <v>276</v>
      </c>
      <c r="D10" s="54" t="s">
        <v>273</v>
      </c>
    </row>
    <row r="11" ht="34.8" spans="1:5">
      <c r="A11" s="61" t="s">
        <v>277</v>
      </c>
      <c r="B11" s="64" t="s">
        <v>278</v>
      </c>
      <c r="C11" s="65" t="s">
        <v>279</v>
      </c>
      <c r="D11" s="54" t="s">
        <v>273</v>
      </c>
    </row>
    <row r="12" spans="1:5">
      <c r="A12" s="61" t="s">
        <v>280</v>
      </c>
      <c r="B12" s="66" t="s">
        <v>281</v>
      </c>
      <c r="C12" s="63" t="s">
        <v>282</v>
      </c>
      <c r="D12" s="44">
        <f>100*5.6</f>
        <v>560</v>
      </c>
    </row>
    <row r="13" ht="104.4" spans="1:5">
      <c r="A13" s="61" t="s">
        <v>283</v>
      </c>
      <c r="B13" s="67" t="s">
        <v>284</v>
      </c>
      <c r="C13" s="65" t="s">
        <v>285</v>
      </c>
      <c r="D13" s="44">
        <f>12*73</f>
        <v>876</v>
      </c>
    </row>
    <row r="14" spans="1:5">
      <c r="A14" s="61" t="s">
        <v>286</v>
      </c>
      <c r="B14" s="66" t="s">
        <v>281</v>
      </c>
      <c r="C14" s="63"/>
      <c r="D14" s="44">
        <f>100</f>
        <v>100</v>
      </c>
    </row>
    <row r="15" spans="1:5">
      <c r="A15" s="61" t="s">
        <v>287</v>
      </c>
      <c r="B15" s="64" t="s">
        <v>288</v>
      </c>
      <c r="C15" s="65" t="s">
        <v>289</v>
      </c>
      <c r="D15" s="44">
        <f>200</f>
        <v>200</v>
      </c>
    </row>
    <row r="16" spans="1:5">
      <c r="A16" s="61" t="s">
        <v>290</v>
      </c>
      <c r="B16" s="66" t="s">
        <v>291</v>
      </c>
      <c r="C16" s="63" t="s">
        <v>292</v>
      </c>
      <c r="D16" s="44">
        <f>1.5*7*7</f>
        <v>73.5</v>
      </c>
      <c r="E16" s="54" t="s">
        <v>293</v>
      </c>
    </row>
    <row r="17" spans="1:6">
      <c r="A17" s="61" t="s">
        <v>294</v>
      </c>
      <c r="B17" s="64" t="s">
        <v>295</v>
      </c>
      <c r="C17" s="65" t="s">
        <v>296</v>
      </c>
      <c r="D17" s="44">
        <f>3.5*7*2</f>
        <v>49</v>
      </c>
    </row>
    <row r="18" ht="34.8" spans="1:6">
      <c r="A18" s="61" t="s">
        <v>297</v>
      </c>
      <c r="B18" s="66" t="s">
        <v>298</v>
      </c>
      <c r="C18" s="63" t="s">
        <v>299</v>
      </c>
    </row>
    <row r="19" spans="1:6">
      <c r="A19" s="61"/>
      <c r="B19" s="68"/>
      <c r="C19" s="69"/>
    </row>
    <row r="20" spans="1:6">
      <c r="A20" s="70"/>
      <c r="B20" s="66"/>
      <c r="C20" s="63"/>
    </row>
    <row r="21" spans="1:6">
      <c r="A21" s="58" t="s">
        <v>300</v>
      </c>
      <c r="B21" s="59"/>
      <c r="C21" s="60"/>
    </row>
    <row r="22" spans="1:6">
      <c r="A22" s="61" t="s">
        <v>301</v>
      </c>
      <c r="B22" s="66" t="s">
        <v>302</v>
      </c>
      <c r="C22" s="63"/>
      <c r="E22" s="44">
        <f>50</f>
        <v>50</v>
      </c>
    </row>
    <row r="23" spans="1:6">
      <c r="A23" s="61" t="s">
        <v>282</v>
      </c>
      <c r="B23" s="66" t="s">
        <v>303</v>
      </c>
      <c r="C23" s="63" t="s">
        <v>304</v>
      </c>
      <c r="E23" s="44">
        <v>100</v>
      </c>
    </row>
    <row r="24" ht="34.8" spans="1:6">
      <c r="A24" s="61" t="s">
        <v>305</v>
      </c>
      <c r="B24" s="67" t="s">
        <v>306</v>
      </c>
      <c r="C24" s="65"/>
      <c r="E24" s="44">
        <v>300</v>
      </c>
    </row>
    <row r="25" spans="1:6">
      <c r="A25" s="61" t="s">
        <v>307</v>
      </c>
      <c r="B25" s="64" t="s">
        <v>308</v>
      </c>
      <c r="C25" s="65" t="s">
        <v>309</v>
      </c>
      <c r="E25" s="44">
        <v>100</v>
      </c>
    </row>
    <row r="26" spans="1:6">
      <c r="A26" s="61" t="s">
        <v>310</v>
      </c>
      <c r="B26" s="64" t="s">
        <v>311</v>
      </c>
      <c r="C26" s="65" t="s">
        <v>312</v>
      </c>
      <c r="D26" s="54" t="s">
        <v>313</v>
      </c>
    </row>
    <row r="27" spans="1:6">
      <c r="A27" s="61" t="s">
        <v>314</v>
      </c>
      <c r="B27" s="64" t="s">
        <v>315</v>
      </c>
      <c r="C27" s="65" t="s">
        <v>316</v>
      </c>
      <c r="D27" s="54" t="s">
        <v>273</v>
      </c>
      <c r="F27" s="44">
        <v>550</v>
      </c>
    </row>
    <row r="28" ht="34.8" spans="1:6">
      <c r="A28" s="61" t="s">
        <v>317</v>
      </c>
      <c r="B28" s="64" t="s">
        <v>318</v>
      </c>
      <c r="C28" s="65" t="s">
        <v>319</v>
      </c>
      <c r="E28" s="44">
        <v>100</v>
      </c>
    </row>
    <row r="29" spans="1:6">
      <c r="A29" s="61" t="s">
        <v>320</v>
      </c>
      <c r="B29" s="64" t="s">
        <v>321</v>
      </c>
      <c r="C29" s="65" t="s">
        <v>322</v>
      </c>
      <c r="D29" s="54" t="s">
        <v>273</v>
      </c>
      <c r="F29" s="44">
        <v>250</v>
      </c>
    </row>
    <row r="30" spans="1:6">
      <c r="A30" s="61" t="s">
        <v>323</v>
      </c>
      <c r="B30" s="64" t="s">
        <v>324</v>
      </c>
      <c r="C30" s="65"/>
      <c r="D30" s="54" t="s">
        <v>313</v>
      </c>
    </row>
    <row r="31" spans="1:6">
      <c r="A31" s="61" t="s">
        <v>325</v>
      </c>
      <c r="B31" s="64" t="s">
        <v>302</v>
      </c>
      <c r="C31" s="71"/>
      <c r="D31" s="54" t="s">
        <v>273</v>
      </c>
      <c r="F31" s="44">
        <v>50</v>
      </c>
    </row>
    <row r="32" spans="1:6">
      <c r="A32" s="61" t="s">
        <v>326</v>
      </c>
      <c r="B32" s="64" t="s">
        <v>302</v>
      </c>
      <c r="C32" s="71"/>
      <c r="D32" s="54" t="s">
        <v>273</v>
      </c>
      <c r="F32" s="44">
        <v>50</v>
      </c>
    </row>
    <row r="33" spans="1:6">
      <c r="A33" s="70"/>
      <c r="B33" s="66"/>
      <c r="C33" s="63"/>
    </row>
    <row r="34" spans="1:6">
      <c r="A34" s="58" t="s">
        <v>327</v>
      </c>
      <c r="B34" s="59"/>
      <c r="C34" s="60"/>
    </row>
    <row r="35" spans="1:6">
      <c r="A35" s="61" t="s">
        <v>282</v>
      </c>
      <c r="B35" s="64" t="s">
        <v>328</v>
      </c>
      <c r="C35" s="65" t="s">
        <v>329</v>
      </c>
      <c r="D35" s="54" t="s">
        <v>273</v>
      </c>
      <c r="F35" s="44">
        <v>100</v>
      </c>
    </row>
    <row r="36" spans="1:6">
      <c r="A36" s="61" t="s">
        <v>330</v>
      </c>
      <c r="B36" s="64" t="s">
        <v>328</v>
      </c>
      <c r="C36" s="65"/>
      <c r="D36" s="54" t="s">
        <v>273</v>
      </c>
      <c r="F36" s="44">
        <v>100</v>
      </c>
    </row>
    <row r="37" spans="1:6">
      <c r="A37" s="61" t="s">
        <v>331</v>
      </c>
      <c r="B37" s="72" t="s">
        <v>332</v>
      </c>
      <c r="C37" s="65" t="s">
        <v>333</v>
      </c>
      <c r="D37" s="54" t="s">
        <v>273</v>
      </c>
      <c r="F37" s="44">
        <v>100</v>
      </c>
    </row>
    <row r="38" spans="1:6">
      <c r="A38" s="70" t="s">
        <v>334</v>
      </c>
      <c r="B38" s="64" t="s">
        <v>335</v>
      </c>
      <c r="C38" s="65"/>
      <c r="D38" s="54" t="s">
        <v>273</v>
      </c>
      <c r="F38" s="44">
        <v>100</v>
      </c>
    </row>
    <row r="39" ht="34.8" spans="1:6">
      <c r="A39" s="61" t="s">
        <v>297</v>
      </c>
      <c r="B39" s="64" t="s">
        <v>298</v>
      </c>
      <c r="C39" s="65" t="s">
        <v>299</v>
      </c>
      <c r="D39" s="54" t="s">
        <v>273</v>
      </c>
    </row>
    <row r="40" spans="1:6">
      <c r="A40" s="70"/>
      <c r="B40" s="66"/>
      <c r="C40" s="63"/>
    </row>
    <row r="41" spans="1:6">
      <c r="A41" s="73" t="s">
        <v>336</v>
      </c>
      <c r="B41" s="74"/>
      <c r="C41" s="75"/>
    </row>
    <row r="42" spans="1:6">
      <c r="A42" s="61" t="s">
        <v>337</v>
      </c>
      <c r="B42" s="66" t="s">
        <v>338</v>
      </c>
      <c r="C42" s="63" t="s">
        <v>339</v>
      </c>
      <c r="D42" s="54" t="s">
        <v>340</v>
      </c>
    </row>
    <row r="43" spans="1:6">
      <c r="A43" s="61" t="s">
        <v>341</v>
      </c>
      <c r="B43" s="66" t="s">
        <v>338</v>
      </c>
      <c r="C43" s="63" t="s">
        <v>339</v>
      </c>
      <c r="D43" s="54" t="s">
        <v>340</v>
      </c>
    </row>
    <row r="44" spans="1:6">
      <c r="A44" s="61" t="s">
        <v>342</v>
      </c>
      <c r="B44" s="66"/>
      <c r="C44" s="63" t="s">
        <v>343</v>
      </c>
    </row>
    <row r="45" spans="1:6">
      <c r="A45" s="61" t="s">
        <v>344</v>
      </c>
      <c r="B45" s="66"/>
      <c r="C45" s="63" t="s">
        <v>343</v>
      </c>
    </row>
    <row r="46" spans="1:6">
      <c r="A46" s="61" t="s">
        <v>345</v>
      </c>
      <c r="B46" s="66"/>
      <c r="C46" s="63"/>
      <c r="D46" s="54" t="s">
        <v>346</v>
      </c>
    </row>
    <row r="47" ht="18.15" spans="1:6">
      <c r="A47" s="76"/>
      <c r="B47" s="77"/>
      <c r="C47" s="78"/>
    </row>
    <row r="48" spans="1:6">
      <c r="A48" s="79" t="s">
        <v>347</v>
      </c>
      <c r="B48" s="80"/>
      <c r="C48" s="81"/>
      <c r="D48" s="82">
        <f>2208.5*E4+1270*E5</f>
        <v>21511.6</v>
      </c>
      <c r="E48" s="83" t="s">
        <v>348</v>
      </c>
    </row>
    <row r="49" ht="18.15" spans="1:4">
      <c r="A49" s="84" t="s">
        <v>349</v>
      </c>
      <c r="B49" s="85"/>
      <c r="C49" s="86"/>
      <c r="D49" s="82">
        <f>(62000+5500)*0.05*7.2*1.05</f>
        <v>25515</v>
      </c>
    </row>
    <row r="50" spans="1:4">
      <c r="A50" s="87"/>
      <c r="B50" s="88"/>
      <c r="C50" s="89"/>
      <c r="D50" s="90"/>
    </row>
    <row r="51" spans="1:4">
      <c r="A51" s="91" t="s">
        <v>350</v>
      </c>
      <c r="B51" s="92"/>
      <c r="C51" s="93"/>
      <c r="D51" s="94"/>
    </row>
    <row r="52" spans="1:4">
      <c r="A52" s="95" t="s">
        <v>351</v>
      </c>
      <c r="B52" s="96"/>
      <c r="C52" s="97"/>
      <c r="D52" s="98"/>
    </row>
    <row r="53" spans="1:4">
      <c r="A53" s="99" t="s">
        <v>352</v>
      </c>
      <c r="B53" s="100"/>
      <c r="C53" s="101"/>
      <c r="D53" s="94"/>
    </row>
    <row r="54" spans="1:4">
      <c r="A54" s="102" t="s">
        <v>353</v>
      </c>
      <c r="B54" s="103"/>
      <c r="C54" s="104"/>
    </row>
    <row r="55" spans="1:4">
      <c r="A55" s="54"/>
    </row>
  </sheetData>
  <mergeCells count="3">
    <mergeCell ref="B1:C1"/>
    <mergeCell ref="B2:C2"/>
    <mergeCell ref="B3:C3"/>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topLeftCell="B1" workbookViewId="0">
      <selection activeCell="B3" sqref="B3"/>
    </sheetView>
  </sheetViews>
  <sheetFormatPr defaultColWidth="8.88888888888889" defaultRowHeight="14.4" outlineLevelRow="6" outlineLevelCol="2"/>
  <cols>
    <col min="1" max="1" width="24.1111111111111" style="36" customWidth="1"/>
    <col min="2" max="2" width="65.3333333333333" style="36" customWidth="1"/>
    <col min="3" max="3" width="64.8888888888889" style="36" customWidth="1"/>
    <col min="4" max="16384" width="8.88888888888889" style="36"/>
  </cols>
  <sheetData>
    <row r="1" spans="1:3">
      <c r="A1" s="37" t="s">
        <v>354</v>
      </c>
      <c r="B1" s="37"/>
      <c r="C1" s="37"/>
    </row>
    <row r="2" spans="1:3">
      <c r="A2" s="38" t="s">
        <v>1</v>
      </c>
      <c r="B2" s="38" t="s">
        <v>355</v>
      </c>
      <c r="C2" s="38" t="s">
        <v>356</v>
      </c>
    </row>
    <row r="3" ht="101" customHeight="1" spans="1:3">
      <c r="A3" s="39" t="s">
        <v>354</v>
      </c>
      <c r="B3" s="40" t="s">
        <v>357</v>
      </c>
      <c r="C3" s="40" t="s">
        <v>358</v>
      </c>
    </row>
    <row r="4" ht="39.6" spans="1:3">
      <c r="A4" s="41" t="s">
        <v>10</v>
      </c>
      <c r="B4" s="42" t="s">
        <v>359</v>
      </c>
      <c r="C4" s="40" t="s">
        <v>360</v>
      </c>
    </row>
    <row r="5" ht="26.4" spans="1:3">
      <c r="A5" s="41" t="s">
        <v>14</v>
      </c>
      <c r="B5" s="42" t="s">
        <v>361</v>
      </c>
      <c r="C5" s="42" t="s">
        <v>362</v>
      </c>
    </row>
    <row r="6" ht="118.8" spans="1:3">
      <c r="A6" s="43" t="s">
        <v>226</v>
      </c>
      <c r="B6" s="42" t="s">
        <v>18</v>
      </c>
      <c r="C6" s="42" t="s">
        <v>363</v>
      </c>
    </row>
    <row r="7" spans="1:3">
      <c r="A7" s="43" t="s">
        <v>364</v>
      </c>
      <c r="B7" s="42" t="s">
        <v>365</v>
      </c>
      <c r="C7" s="42" t="s">
        <v>18</v>
      </c>
    </row>
  </sheetData>
  <mergeCells count="1">
    <mergeCell ref="A1:C1"/>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
  <sheetViews>
    <sheetView workbookViewId="0">
      <selection activeCell="B8" sqref="B8"/>
    </sheetView>
  </sheetViews>
  <sheetFormatPr defaultColWidth="8.88888888888889" defaultRowHeight="14.4"/>
  <sheetData>
    <row r="1" spans="1:1">
      <c r="A1" t="s">
        <v>366</v>
      </c>
    </row>
    <row r="2" spans="1:1">
      <c r="A2" t="s">
        <v>367</v>
      </c>
    </row>
    <row r="3" spans="1:1">
      <c r="A3" t="s">
        <v>368</v>
      </c>
    </row>
    <row r="4" spans="1:1">
      <c r="A4" t="s">
        <v>369</v>
      </c>
    </row>
    <row r="5" spans="1:1">
      <c r="A5" t="s">
        <v>370</v>
      </c>
    </row>
    <row r="7" spans="1:1">
      <c r="A7" t="s">
        <v>371</v>
      </c>
    </row>
    <row r="8" spans="1:1">
      <c r="A8" t="s">
        <v>372</v>
      </c>
    </row>
    <row r="10" spans="1:1">
      <c r="A10" t="s">
        <v>373</v>
      </c>
    </row>
    <row r="11" spans="1:1">
      <c r="A11" t="s">
        <v>374</v>
      </c>
    </row>
    <row r="12" spans="1:1">
      <c r="A12" t="s">
        <v>375</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0"/>
  <sheetViews>
    <sheetView workbookViewId="0">
      <selection activeCell="A1" sqref="A1"/>
    </sheetView>
  </sheetViews>
  <sheetFormatPr defaultColWidth="8.88888888888889" defaultRowHeight="14.4"/>
  <sheetData>
    <row r="1" spans="1:1">
      <c r="A1" t="s">
        <v>376</v>
      </c>
    </row>
    <row r="3" spans="1:1">
      <c r="A3" t="s">
        <v>377</v>
      </c>
    </row>
    <row r="5" spans="1:1">
      <c r="A5" t="s">
        <v>378</v>
      </c>
    </row>
    <row r="6" spans="1:1">
      <c r="A6" t="s">
        <v>134</v>
      </c>
    </row>
    <row r="7" spans="1:1">
      <c r="A7" t="s">
        <v>379</v>
      </c>
    </row>
    <row r="8" spans="1:1">
      <c r="A8" t="s">
        <v>137</v>
      </c>
    </row>
    <row r="9" spans="1:1">
      <c r="A9" t="s">
        <v>380</v>
      </c>
    </row>
    <row r="10" spans="1:1">
      <c r="A10" t="s">
        <v>381</v>
      </c>
    </row>
    <row r="12" spans="1:1">
      <c r="A12" t="s">
        <v>382</v>
      </c>
    </row>
    <row r="14" spans="1:1">
      <c r="A14" t="s">
        <v>383</v>
      </c>
    </row>
    <row r="15" spans="1:1">
      <c r="A15" t="s">
        <v>384</v>
      </c>
    </row>
    <row r="16" spans="1:1">
      <c r="A16" t="s">
        <v>385</v>
      </c>
    </row>
    <row r="17" spans="1:1">
      <c r="A17" t="s">
        <v>386</v>
      </c>
    </row>
    <row r="18" spans="1:1">
      <c r="A18" t="s">
        <v>387</v>
      </c>
    </row>
    <row r="19" spans="1:1">
      <c r="A19" t="s">
        <v>388</v>
      </c>
    </row>
    <row r="20" spans="1:1">
      <c r="A20" t="s">
        <v>389</v>
      </c>
    </row>
    <row r="21" spans="1:1">
      <c r="A21" t="s">
        <v>147</v>
      </c>
    </row>
    <row r="22" spans="1:1">
      <c r="A22" t="s">
        <v>390</v>
      </c>
    </row>
    <row r="25" spans="1:1">
      <c r="A25" t="s">
        <v>391</v>
      </c>
    </row>
    <row r="27" spans="1:1">
      <c r="A27" t="s">
        <v>392</v>
      </c>
    </row>
    <row r="29" spans="1:1">
      <c r="A29" t="s">
        <v>393</v>
      </c>
    </row>
    <row r="30" spans="1:1">
      <c r="A30" t="s">
        <v>370</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workbookViewId="0">
      <selection activeCell="G3" sqref="G3"/>
    </sheetView>
  </sheetViews>
  <sheetFormatPr defaultColWidth="8.88888888888889" defaultRowHeight="14.4" outlineLevelCol="3"/>
  <cols>
    <col min="1" max="4" width="20.7777777777778" customWidth="1"/>
  </cols>
  <sheetData>
    <row r="1" spans="1:4">
      <c r="A1" s="21" t="s">
        <v>394</v>
      </c>
      <c r="B1" s="21"/>
      <c r="C1" s="21"/>
      <c r="D1" s="22"/>
    </row>
    <row r="2" spans="1:4">
      <c r="A2" s="22" t="s">
        <v>395</v>
      </c>
      <c r="B2" s="21"/>
      <c r="C2" s="21"/>
      <c r="D2" s="21"/>
    </row>
    <row r="3" spans="1:4">
      <c r="A3" s="22" t="s">
        <v>396</v>
      </c>
      <c r="B3" s="21">
        <v>17000</v>
      </c>
      <c r="C3" s="21" t="s">
        <v>397</v>
      </c>
      <c r="D3" s="21"/>
    </row>
    <row r="4" spans="1:4">
      <c r="A4" s="23" t="s">
        <v>1</v>
      </c>
      <c r="B4" s="23" t="s">
        <v>398</v>
      </c>
      <c r="C4" s="23" t="s">
        <v>399</v>
      </c>
      <c r="D4" s="23" t="s">
        <v>400</v>
      </c>
    </row>
    <row r="5" spans="1:4">
      <c r="A5" s="23"/>
      <c r="B5" s="24"/>
      <c r="C5" s="25"/>
      <c r="D5" s="26"/>
    </row>
    <row r="6" spans="1:4">
      <c r="A6" s="23" t="s">
        <v>401</v>
      </c>
      <c r="B6" s="27">
        <f>10+B3*1.3</f>
        <v>22110</v>
      </c>
      <c r="C6" s="28"/>
      <c r="D6" s="29"/>
    </row>
    <row r="7" ht="183.6" spans="1:4">
      <c r="A7" s="23" t="s">
        <v>402</v>
      </c>
      <c r="B7" s="30" t="s">
        <v>403</v>
      </c>
      <c r="C7" s="30" t="s">
        <v>404</v>
      </c>
      <c r="D7" s="30" t="s">
        <v>405</v>
      </c>
    </row>
    <row r="8" spans="1:4">
      <c r="A8" s="23" t="s">
        <v>139</v>
      </c>
      <c r="B8" s="31">
        <f>2.5*B3+150+B6</f>
        <v>64760</v>
      </c>
      <c r="C8" s="31">
        <f>1500+4.5*B3+B6</f>
        <v>100110</v>
      </c>
      <c r="D8" s="31">
        <f>B6+400+500+200*7.3+12000*2</f>
        <v>48470</v>
      </c>
    </row>
    <row r="9" ht="64.8" spans="1:4">
      <c r="A9" s="23" t="s">
        <v>10</v>
      </c>
      <c r="B9" s="32" t="s">
        <v>406</v>
      </c>
      <c r="C9" s="23" t="s">
        <v>407</v>
      </c>
      <c r="D9" s="30" t="s">
        <v>408</v>
      </c>
    </row>
    <row r="10" ht="32.4" spans="1:4">
      <c r="A10" s="23" t="s">
        <v>409</v>
      </c>
      <c r="B10" s="33" t="s">
        <v>410</v>
      </c>
      <c r="C10" s="34"/>
      <c r="D10" s="30" t="s">
        <v>411</v>
      </c>
    </row>
    <row r="11" ht="51" customHeight="1" spans="1:4">
      <c r="A11" s="22" t="s">
        <v>14</v>
      </c>
      <c r="B11" s="35" t="s">
        <v>412</v>
      </c>
      <c r="C11" s="35"/>
      <c r="D11" s="35"/>
    </row>
    <row r="22" ht="330" customHeight="1"/>
    <row r="26" ht="54" customHeight="1"/>
  </sheetData>
  <mergeCells count="4">
    <mergeCell ref="B5:D5"/>
    <mergeCell ref="B6:D6"/>
    <mergeCell ref="B10:C10"/>
    <mergeCell ref="B11:D11"/>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D8" sqref="D8"/>
    </sheetView>
  </sheetViews>
  <sheetFormatPr defaultColWidth="8.88888888888889" defaultRowHeight="14.4" outlineLevelCol="3"/>
  <cols>
    <col min="1" max="1" width="13.3333333333333" customWidth="1"/>
    <col min="2" max="2" width="40.3333333333333" customWidth="1"/>
    <col min="3" max="3" width="32" customWidth="1"/>
    <col min="4" max="4" width="46.7777777777778" customWidth="1"/>
  </cols>
  <sheetData>
    <row r="1" spans="1:4">
      <c r="A1" s="1" t="s">
        <v>413</v>
      </c>
      <c r="B1" s="1"/>
      <c r="C1" s="1"/>
      <c r="D1" s="2"/>
    </row>
    <row r="2" spans="1:4">
      <c r="A2" s="2" t="s">
        <v>395</v>
      </c>
      <c r="B2" s="1"/>
      <c r="C2" s="1"/>
      <c r="D2" s="1"/>
    </row>
    <row r="3" spans="1:4">
      <c r="A3" s="2" t="s">
        <v>40</v>
      </c>
      <c r="B3" s="1" t="s">
        <v>414</v>
      </c>
      <c r="C3" s="1"/>
      <c r="D3" s="1"/>
    </row>
    <row r="4" spans="1:4">
      <c r="A4" s="2"/>
      <c r="B4" s="1"/>
      <c r="C4" s="1"/>
      <c r="D4" s="1"/>
    </row>
    <row r="5" spans="1:4">
      <c r="A5" s="3" t="s">
        <v>1</v>
      </c>
      <c r="B5" s="3" t="s">
        <v>398</v>
      </c>
      <c r="C5" s="3" t="s">
        <v>399</v>
      </c>
      <c r="D5" s="3" t="s">
        <v>400</v>
      </c>
    </row>
    <row r="6" spans="1:4">
      <c r="A6" s="3"/>
      <c r="B6" s="4"/>
      <c r="C6" s="5"/>
      <c r="D6" s="6"/>
    </row>
    <row r="7" spans="1:4">
      <c r="A7" s="3" t="s">
        <v>401</v>
      </c>
      <c r="B7" s="7">
        <v>6000</v>
      </c>
      <c r="C7" s="8"/>
      <c r="D7" s="9"/>
    </row>
    <row r="8" ht="129.6" spans="1:4">
      <c r="A8" s="3" t="s">
        <v>415</v>
      </c>
      <c r="B8" s="10" t="s">
        <v>416</v>
      </c>
      <c r="C8" s="10" t="s">
        <v>417</v>
      </c>
      <c r="D8" s="11" t="s">
        <v>418</v>
      </c>
    </row>
    <row r="9" spans="1:4">
      <c r="A9" s="3" t="s">
        <v>139</v>
      </c>
      <c r="B9" s="12" t="e">
        <f>3*B3+150+B7</f>
        <v>#VALUE!</v>
      </c>
      <c r="C9" s="12" t="e">
        <f>1500+4.5*B3+B7</f>
        <v>#VALUE!</v>
      </c>
      <c r="D9" s="12">
        <f>400+500+200*7.3+12000*2+B7</f>
        <v>32360</v>
      </c>
    </row>
    <row r="10" ht="68.4" spans="1:4">
      <c r="A10" s="3" t="s">
        <v>10</v>
      </c>
      <c r="B10" s="13" t="s">
        <v>406</v>
      </c>
      <c r="C10" s="3" t="s">
        <v>407</v>
      </c>
      <c r="D10" s="14" t="s">
        <v>419</v>
      </c>
    </row>
    <row r="11" ht="21.6" spans="1:4">
      <c r="A11" s="15" t="s">
        <v>409</v>
      </c>
      <c r="B11" s="16" t="s">
        <v>410</v>
      </c>
      <c r="C11" s="17"/>
      <c r="D11" s="18" t="s">
        <v>411</v>
      </c>
    </row>
    <row r="12" ht="45" customHeight="1" spans="1:4">
      <c r="A12" s="19" t="s">
        <v>14</v>
      </c>
      <c r="B12" s="20" t="s">
        <v>420</v>
      </c>
      <c r="C12" s="20"/>
      <c r="D12" s="20"/>
    </row>
  </sheetData>
  <mergeCells count="4">
    <mergeCell ref="B6:D6"/>
    <mergeCell ref="B7:D7"/>
    <mergeCell ref="B11:C11"/>
    <mergeCell ref="B12:D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23</vt:i4>
      </vt:variant>
    </vt:vector>
  </HeadingPairs>
  <TitlesOfParts>
    <vt:vector size="23" baseType="lpstr">
      <vt:lpstr>国内-西班牙海运专线</vt:lpstr>
      <vt:lpstr>国内-新加坡&amp; 英国</vt:lpstr>
      <vt:lpstr>Sheet1</vt:lpstr>
      <vt:lpstr>国内-澳门询价</vt:lpstr>
      <vt:lpstr>国内-澳洲</vt:lpstr>
      <vt:lpstr>国内-香港</vt:lpstr>
      <vt:lpstr>达拉斯-新加坡</vt:lpstr>
      <vt:lpstr>深圳-新加坡一般贸易</vt:lpstr>
      <vt:lpstr>深圳-新加坡专线成本</vt:lpstr>
      <vt:lpstr>国内-达拉斯贸代</vt:lpstr>
      <vt:lpstr>国内-法兰克福专线</vt:lpstr>
      <vt:lpstr>达拉斯-法兰克福</vt:lpstr>
      <vt:lpstr>香港-新加坡</vt:lpstr>
      <vt:lpstr>香港-马来-正清</vt:lpstr>
      <vt:lpstr>香港-马来-专线</vt:lpstr>
      <vt:lpstr>香港-菲律宾</vt:lpstr>
      <vt:lpstr>日本</vt:lpstr>
      <vt:lpstr>新加坡-柔佛</vt:lpstr>
      <vt:lpstr>北京-沙特</vt:lpstr>
      <vt:lpstr>国内-荷兰</vt:lpstr>
      <vt:lpstr>国内-荷兰2</vt:lpstr>
      <vt:lpstr>国内-越南</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ZWB</dc:creator>
  <cp:lastModifiedBy>弑心</cp:lastModifiedBy>
  <dcterms:created xsi:type="dcterms:W3CDTF">2025-10-23T06:18:00Z</dcterms:created>
  <dcterms:modified xsi:type="dcterms:W3CDTF">2026-02-05T02:47:12Z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697F5195C1AD4E32AE6DD61A123EB063_11</vt:lpwstr>
  </property>
  <property fmtid="{D5CDD505-2E9C-101B-9397-08002B2CF9AE}" pid="3" name="KSOProductBuildVer">
    <vt:lpwstr>2052-12.1.0.25222</vt:lpwstr>
  </property>
  <property fmtid="{D5CDD505-2E9C-101B-9397-08002B2CF9AE}" pid="4" name="CalculationRule">
    <vt:i4>0</vt:i4>
  </property>
</Properties>
</file>